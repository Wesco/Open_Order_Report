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activeTab="4"/>
  </bookViews>
  <sheets>
    <sheet name="117 BO" sheetId="1" r:id="rId1"/>
    <sheet name="117 DS" sheetId="2" r:id="rId2"/>
    <sheet name="Previous 117 BO" sheetId="5" r:id="rId3"/>
    <sheet name="Previous 117 DS" sheetId="8" r:id="rId4"/>
    <sheet name="Macro" sheetId="3" r:id="rId5"/>
    <sheet name="Info" sheetId="4" r:id="rId6"/>
  </sheets>
  <functionGroups builtInGroupCount="17"/>
  <calcPr calcId="144525"/>
</workbook>
</file>

<file path=xl/calcChain.xml><?xml version="1.0" encoding="utf-8"?>
<calcChain xmlns="http://schemas.openxmlformats.org/spreadsheetml/2006/main">
  <c r="Q47" i="2" l="1"/>
  <c r="H47" i="2"/>
  <c r="D47" i="2"/>
  <c r="A47" i="2"/>
  <c r="Q46" i="2"/>
  <c r="H46" i="2"/>
  <c r="D46" i="2"/>
  <c r="A46" i="2"/>
  <c r="Q45" i="2"/>
  <c r="H45" i="2"/>
  <c r="D45" i="2"/>
  <c r="A45" i="2"/>
  <c r="Q44" i="2"/>
  <c r="H44" i="2"/>
  <c r="D44" i="2"/>
  <c r="A44" i="2"/>
  <c r="Q43" i="2"/>
  <c r="H43" i="2"/>
  <c r="D43" i="2"/>
  <c r="A43" i="2"/>
  <c r="Q42" i="2"/>
  <c r="H42" i="2"/>
  <c r="D42" i="2"/>
  <c r="A42" i="2"/>
  <c r="Q41" i="2"/>
  <c r="H41" i="2"/>
  <c r="D41" i="2"/>
  <c r="A41" i="2"/>
  <c r="Q40" i="2"/>
  <c r="H40" i="2"/>
  <c r="D40" i="2"/>
  <c r="A40" i="2"/>
  <c r="Q39" i="2"/>
  <c r="H39" i="2"/>
  <c r="D39" i="2"/>
  <c r="A39" i="2"/>
  <c r="Q38" i="2"/>
  <c r="H38" i="2"/>
  <c r="D38" i="2"/>
  <c r="A38" i="2"/>
  <c r="Q37" i="2"/>
  <c r="H37" i="2"/>
  <c r="D37" i="2"/>
  <c r="A37" i="2"/>
  <c r="Q36" i="2"/>
  <c r="H36" i="2"/>
  <c r="D36" i="2"/>
  <c r="A36" i="2"/>
  <c r="Q35" i="2"/>
  <c r="H35" i="2"/>
  <c r="D35" i="2"/>
  <c r="A35" i="2"/>
  <c r="Q34" i="2"/>
  <c r="H34" i="2"/>
  <c r="D34" i="2"/>
  <c r="A34" i="2"/>
  <c r="Q33" i="2"/>
  <c r="H33" i="2"/>
  <c r="D33" i="2"/>
  <c r="A33" i="2"/>
  <c r="Q32" i="2"/>
  <c r="H32" i="2"/>
  <c r="D32" i="2"/>
  <c r="A32" i="2"/>
  <c r="Q31" i="2"/>
  <c r="H31" i="2"/>
  <c r="D31" i="2"/>
  <c r="A31" i="2"/>
  <c r="Q30" i="2"/>
  <c r="H30" i="2"/>
  <c r="D30" i="2"/>
  <c r="A30" i="2"/>
  <c r="Q29" i="2"/>
  <c r="H29" i="2"/>
  <c r="D29" i="2"/>
  <c r="A29" i="2"/>
  <c r="Q28" i="2"/>
  <c r="H28" i="2"/>
  <c r="D28" i="2"/>
  <c r="A28" i="2"/>
  <c r="Q27" i="2"/>
  <c r="H27" i="2"/>
  <c r="D27" i="2"/>
  <c r="A27" i="2"/>
  <c r="Q26" i="2"/>
  <c r="H26" i="2"/>
  <c r="D26" i="2"/>
  <c r="A26" i="2"/>
  <c r="Q25" i="2"/>
  <c r="H25" i="2"/>
  <c r="D25" i="2"/>
  <c r="A25" i="2"/>
  <c r="Q24" i="2"/>
  <c r="H24" i="2"/>
  <c r="D24" i="2"/>
  <c r="A24" i="2"/>
  <c r="Q23" i="2"/>
  <c r="H23" i="2"/>
  <c r="D23" i="2"/>
  <c r="A23" i="2"/>
  <c r="Q22" i="2"/>
  <c r="H22" i="2"/>
  <c r="D22" i="2"/>
  <c r="A22" i="2"/>
  <c r="Q21" i="2"/>
  <c r="H21" i="2"/>
  <c r="D21" i="2"/>
  <c r="A21" i="2"/>
  <c r="Q20" i="2"/>
  <c r="H20" i="2"/>
  <c r="D20" i="2"/>
  <c r="A20" i="2"/>
  <c r="Q19" i="2"/>
  <c r="H19" i="2"/>
  <c r="D19" i="2"/>
  <c r="A19" i="2"/>
  <c r="Q18" i="2"/>
  <c r="H18" i="2"/>
  <c r="D18" i="2"/>
  <c r="A18" i="2"/>
  <c r="Q17" i="2"/>
  <c r="H17" i="2"/>
  <c r="D17" i="2"/>
  <c r="A17" i="2"/>
  <c r="Q16" i="2"/>
  <c r="H16" i="2"/>
  <c r="D16" i="2"/>
  <c r="A16" i="2"/>
  <c r="Q15" i="2"/>
  <c r="H15" i="2"/>
  <c r="D15" i="2"/>
  <c r="A15" i="2"/>
  <c r="Q14" i="2"/>
  <c r="H14" i="2"/>
  <c r="D14" i="2"/>
  <c r="A14" i="2"/>
  <c r="Q13" i="2"/>
  <c r="H13" i="2"/>
  <c r="D13" i="2"/>
  <c r="A13" i="2"/>
  <c r="Q12" i="2"/>
  <c r="H12" i="2"/>
  <c r="D12" i="2"/>
  <c r="A12" i="2"/>
  <c r="Q11" i="2"/>
  <c r="H11" i="2"/>
  <c r="D11" i="2"/>
  <c r="A11" i="2"/>
  <c r="Q10" i="2"/>
  <c r="H10" i="2"/>
  <c r="D10" i="2"/>
  <c r="A10" i="2"/>
  <c r="Q9" i="2"/>
  <c r="H9" i="2"/>
  <c r="D9" i="2"/>
  <c r="A9" i="2"/>
  <c r="Q8" i="2"/>
  <c r="H8" i="2"/>
  <c r="D8" i="2"/>
  <c r="A8" i="2"/>
  <c r="Q7" i="2"/>
  <c r="H7" i="2"/>
  <c r="D7" i="2"/>
  <c r="A7" i="2"/>
  <c r="Q6" i="2"/>
  <c r="H6" i="2"/>
  <c r="D6" i="2"/>
  <c r="A6" i="2"/>
  <c r="Q5" i="2"/>
  <c r="H5" i="2"/>
  <c r="D5" i="2"/>
  <c r="A5" i="2"/>
  <c r="Q4" i="2"/>
  <c r="H4" i="2"/>
  <c r="D4" i="2"/>
  <c r="A4" i="2"/>
  <c r="Q3" i="2"/>
  <c r="H3" i="2"/>
  <c r="D3" i="2"/>
  <c r="A3" i="2"/>
  <c r="H2" i="2"/>
  <c r="D2" i="2"/>
  <c r="A2" i="2"/>
  <c r="Q133" i="1" l="1"/>
  <c r="H133" i="1"/>
  <c r="D133" i="1"/>
  <c r="A133" i="1"/>
  <c r="Q132" i="1"/>
  <c r="H132" i="1"/>
  <c r="D132" i="1"/>
  <c r="A132" i="1"/>
  <c r="Q131" i="1"/>
  <c r="H131" i="1"/>
  <c r="D131" i="1"/>
  <c r="A131" i="1"/>
  <c r="Q130" i="1"/>
  <c r="H130" i="1"/>
  <c r="D130" i="1"/>
  <c r="A130" i="1"/>
  <c r="Q129" i="1"/>
  <c r="H129" i="1"/>
  <c r="D129" i="1"/>
  <c r="A129" i="1"/>
  <c r="Q128" i="1"/>
  <c r="H128" i="1"/>
  <c r="D128" i="1"/>
  <c r="A128" i="1"/>
  <c r="Q127" i="1"/>
  <c r="H127" i="1"/>
  <c r="D127" i="1"/>
  <c r="A127" i="1"/>
  <c r="Q126" i="1"/>
  <c r="H126" i="1"/>
  <c r="D126" i="1"/>
  <c r="A126" i="1"/>
  <c r="Q125" i="1"/>
  <c r="H125" i="1"/>
  <c r="D125" i="1"/>
  <c r="A125" i="1"/>
  <c r="Q124" i="1"/>
  <c r="H124" i="1"/>
  <c r="D124" i="1"/>
  <c r="A124" i="1"/>
  <c r="Q123" i="1"/>
  <c r="H123" i="1"/>
  <c r="D123" i="1"/>
  <c r="A123" i="1"/>
  <c r="Q122" i="1"/>
  <c r="H122" i="1"/>
  <c r="D122" i="1"/>
  <c r="A122" i="1"/>
  <c r="Q121" i="1"/>
  <c r="H121" i="1"/>
  <c r="D121" i="1"/>
  <c r="A121" i="1"/>
  <c r="Q120" i="1"/>
  <c r="H120" i="1"/>
  <c r="D120" i="1"/>
  <c r="A120" i="1"/>
  <c r="Q119" i="1"/>
  <c r="H119" i="1"/>
  <c r="D119" i="1"/>
  <c r="A119" i="1"/>
  <c r="Q118" i="1"/>
  <c r="H118" i="1"/>
  <c r="D118" i="1"/>
  <c r="A118" i="1"/>
  <c r="Q117" i="1"/>
  <c r="H117" i="1"/>
  <c r="D117" i="1"/>
  <c r="A117" i="1"/>
  <c r="Q116" i="1"/>
  <c r="H116" i="1"/>
  <c r="D116" i="1"/>
  <c r="A116" i="1"/>
  <c r="Q115" i="1"/>
  <c r="H115" i="1"/>
  <c r="D115" i="1"/>
  <c r="A115" i="1"/>
  <c r="Q114" i="1"/>
  <c r="H114" i="1"/>
  <c r="D114" i="1"/>
  <c r="A114" i="1"/>
  <c r="Q113" i="1"/>
  <c r="H113" i="1"/>
  <c r="D113" i="1"/>
  <c r="A113" i="1"/>
  <c r="Q112" i="1"/>
  <c r="H112" i="1"/>
  <c r="D112" i="1"/>
  <c r="A112" i="1"/>
  <c r="Q111" i="1"/>
  <c r="H111" i="1"/>
  <c r="D111" i="1"/>
  <c r="A111" i="1"/>
  <c r="Q110" i="1"/>
  <c r="H110" i="1"/>
  <c r="D110" i="1"/>
  <c r="A110" i="1"/>
  <c r="Q109" i="1"/>
  <c r="H109" i="1"/>
  <c r="D109" i="1"/>
  <c r="A109" i="1"/>
  <c r="Q108" i="1"/>
  <c r="H108" i="1"/>
  <c r="D108" i="1"/>
  <c r="A108" i="1"/>
  <c r="Q107" i="1"/>
  <c r="H107" i="1"/>
  <c r="D107" i="1"/>
  <c r="A107" i="1"/>
  <c r="Q106" i="1"/>
  <c r="H106" i="1"/>
  <c r="D106" i="1"/>
  <c r="A106" i="1"/>
  <c r="Q105" i="1"/>
  <c r="H105" i="1"/>
  <c r="D105" i="1"/>
  <c r="A105" i="1"/>
  <c r="Q104" i="1"/>
  <c r="H104" i="1"/>
  <c r="D104" i="1"/>
  <c r="A104" i="1"/>
  <c r="Q103" i="1"/>
  <c r="H103" i="1"/>
  <c r="D103" i="1"/>
  <c r="A103" i="1"/>
  <c r="Q102" i="1"/>
  <c r="H102" i="1"/>
  <c r="D102" i="1"/>
  <c r="A102" i="1"/>
  <c r="Q101" i="1"/>
  <c r="H101" i="1"/>
  <c r="D101" i="1"/>
  <c r="A101" i="1"/>
  <c r="Q100" i="1"/>
  <c r="H100" i="1"/>
  <c r="D100" i="1"/>
  <c r="A100" i="1"/>
  <c r="Q99" i="1"/>
  <c r="H99" i="1"/>
  <c r="D99" i="1"/>
  <c r="A99" i="1"/>
  <c r="Q98" i="1"/>
  <c r="H98" i="1"/>
  <c r="D98" i="1"/>
  <c r="A98" i="1"/>
  <c r="Q97" i="1"/>
  <c r="H97" i="1"/>
  <c r="D97" i="1"/>
  <c r="A97" i="1"/>
  <c r="Q96" i="1"/>
  <c r="H96" i="1"/>
  <c r="D96" i="1"/>
  <c r="A96" i="1"/>
  <c r="Q95" i="1"/>
  <c r="H95" i="1"/>
  <c r="D95" i="1"/>
  <c r="A95" i="1"/>
  <c r="Q94" i="1"/>
  <c r="H94" i="1"/>
  <c r="D94" i="1"/>
  <c r="A94" i="1"/>
  <c r="Q93" i="1"/>
  <c r="H93" i="1"/>
  <c r="D93" i="1"/>
  <c r="A93" i="1"/>
  <c r="Q92" i="1"/>
  <c r="H92" i="1"/>
  <c r="D92" i="1"/>
  <c r="A92" i="1"/>
  <c r="Q91" i="1"/>
  <c r="H91" i="1"/>
  <c r="D91" i="1"/>
  <c r="A91" i="1"/>
  <c r="Q90" i="1"/>
  <c r="H90" i="1"/>
  <c r="D90" i="1"/>
  <c r="A90" i="1"/>
  <c r="Q89" i="1"/>
  <c r="H89" i="1"/>
  <c r="D89" i="1"/>
  <c r="A89" i="1"/>
  <c r="Q88" i="1"/>
  <c r="H88" i="1"/>
  <c r="D88" i="1"/>
  <c r="A88" i="1"/>
  <c r="Q87" i="1"/>
  <c r="H87" i="1"/>
  <c r="D87" i="1"/>
  <c r="A87" i="1"/>
  <c r="Q86" i="1"/>
  <c r="H86" i="1"/>
  <c r="D86" i="1"/>
  <c r="A86" i="1"/>
  <c r="Q85" i="1"/>
  <c r="H85" i="1"/>
  <c r="D85" i="1"/>
  <c r="A85" i="1"/>
  <c r="Q84" i="1"/>
  <c r="H84" i="1"/>
  <c r="D84" i="1"/>
  <c r="A84" i="1"/>
  <c r="Q83" i="1"/>
  <c r="H83" i="1"/>
  <c r="D83" i="1"/>
  <c r="A83" i="1"/>
  <c r="Q82" i="1"/>
  <c r="H82" i="1"/>
  <c r="D82" i="1"/>
  <c r="A82" i="1"/>
  <c r="Q81" i="1"/>
  <c r="H81" i="1"/>
  <c r="D81" i="1"/>
  <c r="A81" i="1"/>
  <c r="Q80" i="1"/>
  <c r="H80" i="1"/>
  <c r="D80" i="1"/>
  <c r="A80" i="1"/>
  <c r="Q79" i="1"/>
  <c r="H79" i="1"/>
  <c r="D79" i="1"/>
  <c r="A79" i="1"/>
  <c r="Q78" i="1"/>
  <c r="H78" i="1"/>
  <c r="D78" i="1"/>
  <c r="A78" i="1"/>
  <c r="Q77" i="1"/>
  <c r="H77" i="1"/>
  <c r="D77" i="1"/>
  <c r="A77" i="1"/>
  <c r="Q76" i="1"/>
  <c r="H76" i="1"/>
  <c r="D76" i="1"/>
  <c r="A76" i="1"/>
  <c r="Q75" i="1"/>
  <c r="H75" i="1"/>
  <c r="D75" i="1"/>
  <c r="A75" i="1"/>
  <c r="Q74" i="1"/>
  <c r="H74" i="1"/>
  <c r="D74" i="1"/>
  <c r="A74" i="1"/>
  <c r="Q73" i="1"/>
  <c r="H73" i="1"/>
  <c r="D73" i="1"/>
  <c r="A73" i="1"/>
  <c r="Q72" i="1"/>
  <c r="H72" i="1"/>
  <c r="D72" i="1"/>
  <c r="A72" i="1"/>
  <c r="Q71" i="1"/>
  <c r="H71" i="1"/>
  <c r="D71" i="1"/>
  <c r="A71" i="1"/>
  <c r="Q70" i="1"/>
  <c r="H70" i="1"/>
  <c r="D70" i="1"/>
  <c r="A70" i="1"/>
  <c r="Q69" i="1"/>
  <c r="H69" i="1"/>
  <c r="D69" i="1"/>
  <c r="A69" i="1"/>
  <c r="Q68" i="1"/>
  <c r="H68" i="1"/>
  <c r="D68" i="1"/>
  <c r="A68" i="1"/>
  <c r="Q67" i="1"/>
  <c r="H67" i="1"/>
  <c r="D67" i="1"/>
  <c r="A67" i="1"/>
  <c r="Q66" i="1"/>
  <c r="H66" i="1"/>
  <c r="D66" i="1"/>
  <c r="A66" i="1"/>
  <c r="Q65" i="1"/>
  <c r="H65" i="1"/>
  <c r="D65" i="1"/>
  <c r="A65" i="1"/>
  <c r="Q64" i="1"/>
  <c r="H64" i="1"/>
  <c r="D64" i="1"/>
  <c r="A64" i="1"/>
  <c r="Q63" i="1"/>
  <c r="H63" i="1"/>
  <c r="D63" i="1"/>
  <c r="A63" i="1"/>
  <c r="Q62" i="1"/>
  <c r="H62" i="1"/>
  <c r="D62" i="1"/>
  <c r="A62" i="1"/>
  <c r="Q61" i="1"/>
  <c r="H61" i="1"/>
  <c r="D61" i="1"/>
  <c r="A61" i="1"/>
  <c r="Q60" i="1"/>
  <c r="H60" i="1"/>
  <c r="D60" i="1"/>
  <c r="A60" i="1"/>
  <c r="Q59" i="1"/>
  <c r="H59" i="1"/>
  <c r="D59" i="1"/>
  <c r="A59" i="1"/>
  <c r="Q58" i="1"/>
  <c r="H58" i="1"/>
  <c r="D58" i="1"/>
  <c r="A58" i="1"/>
  <c r="Q57" i="1"/>
  <c r="H57" i="1"/>
  <c r="D57" i="1"/>
  <c r="A57" i="1"/>
  <c r="Q56" i="1"/>
  <c r="H56" i="1"/>
  <c r="D56" i="1"/>
  <c r="A56" i="1"/>
  <c r="Q55" i="1"/>
  <c r="H55" i="1"/>
  <c r="D55" i="1"/>
  <c r="A55" i="1"/>
  <c r="Q54" i="1"/>
  <c r="H54" i="1"/>
  <c r="D54" i="1"/>
  <c r="A54" i="1"/>
  <c r="Q53" i="1"/>
  <c r="H53" i="1"/>
  <c r="D53" i="1"/>
  <c r="A53" i="1"/>
  <c r="Q52" i="1"/>
  <c r="H52" i="1"/>
  <c r="D52" i="1"/>
  <c r="A52" i="1"/>
  <c r="Q51" i="1"/>
  <c r="H51" i="1"/>
  <c r="D51" i="1"/>
  <c r="A51" i="1"/>
  <c r="Q50" i="1"/>
  <c r="H50" i="1"/>
  <c r="D50" i="1"/>
  <c r="A50" i="1"/>
  <c r="Q49" i="1"/>
  <c r="H49" i="1"/>
  <c r="D49" i="1"/>
  <c r="A49" i="1"/>
  <c r="Q48" i="1"/>
  <c r="H48" i="1"/>
  <c r="D48" i="1"/>
  <c r="A48" i="1"/>
  <c r="Q47" i="1"/>
  <c r="H47" i="1"/>
  <c r="D47" i="1"/>
  <c r="A47" i="1"/>
  <c r="Q46" i="1"/>
  <c r="H46" i="1"/>
  <c r="D46" i="1"/>
  <c r="A46" i="1"/>
  <c r="Q45" i="1"/>
  <c r="H45" i="1"/>
  <c r="D45" i="1"/>
  <c r="A45" i="1"/>
  <c r="Q44" i="1"/>
  <c r="H44" i="1"/>
  <c r="D44" i="1"/>
  <c r="A44" i="1"/>
  <c r="Q43" i="1"/>
  <c r="H43" i="1"/>
  <c r="D43" i="1"/>
  <c r="A43" i="1"/>
  <c r="Q42" i="1"/>
  <c r="H42" i="1"/>
  <c r="D42" i="1"/>
  <c r="A42" i="1"/>
  <c r="Q41" i="1"/>
  <c r="H41" i="1"/>
  <c r="D41" i="1"/>
  <c r="A41" i="1"/>
  <c r="Q40" i="1"/>
  <c r="H40" i="1"/>
  <c r="D40" i="1"/>
  <c r="A40" i="1"/>
  <c r="Q39" i="1"/>
  <c r="H39" i="1"/>
  <c r="D39" i="1"/>
  <c r="A39" i="1"/>
  <c r="Q38" i="1"/>
  <c r="H38" i="1"/>
  <c r="D38" i="1"/>
  <c r="A38" i="1"/>
  <c r="Q37" i="1"/>
  <c r="H37" i="1"/>
  <c r="D37" i="1"/>
  <c r="A37" i="1"/>
  <c r="Q36" i="1"/>
  <c r="H36" i="1"/>
  <c r="D36" i="1"/>
  <c r="A36" i="1"/>
  <c r="Q35" i="1"/>
  <c r="H35" i="1"/>
  <c r="D35" i="1"/>
  <c r="A35" i="1"/>
  <c r="Q34" i="1"/>
  <c r="H34" i="1"/>
  <c r="D34" i="1"/>
  <c r="A34" i="1"/>
  <c r="Q33" i="1"/>
  <c r="H33" i="1"/>
  <c r="D33" i="1"/>
  <c r="A33" i="1"/>
  <c r="Q32" i="1"/>
  <c r="H32" i="1"/>
  <c r="D32" i="1"/>
  <c r="A32" i="1"/>
  <c r="Q31" i="1"/>
  <c r="H31" i="1"/>
  <c r="D31" i="1"/>
  <c r="A31" i="1"/>
  <c r="Q30" i="1"/>
  <c r="H30" i="1"/>
  <c r="D30" i="1"/>
  <c r="A30" i="1"/>
  <c r="Q29" i="1"/>
  <c r="H29" i="1"/>
  <c r="D29" i="1"/>
  <c r="A29" i="1"/>
  <c r="Q28" i="1"/>
  <c r="H28" i="1"/>
  <c r="D28" i="1"/>
  <c r="A28" i="1"/>
  <c r="Q27" i="1"/>
  <c r="H27" i="1"/>
  <c r="D27" i="1"/>
  <c r="A27" i="1"/>
  <c r="Q26" i="1"/>
  <c r="H26" i="1"/>
  <c r="D26" i="1"/>
  <c r="A26" i="1"/>
  <c r="Q25" i="1"/>
  <c r="H25" i="1"/>
  <c r="D25" i="1"/>
  <c r="A25" i="1"/>
  <c r="Q24" i="1"/>
  <c r="H24" i="1"/>
  <c r="D24" i="1"/>
  <c r="A24" i="1"/>
  <c r="Q23" i="1"/>
  <c r="H23" i="1"/>
  <c r="D23" i="1"/>
  <c r="A23" i="1"/>
  <c r="Q22" i="1"/>
  <c r="H22" i="1"/>
  <c r="D22" i="1"/>
  <c r="A22" i="1"/>
  <c r="Q21" i="1"/>
  <c r="H21" i="1"/>
  <c r="D21" i="1"/>
  <c r="A21" i="1"/>
  <c r="Q20" i="1"/>
  <c r="H20" i="1"/>
  <c r="D20" i="1"/>
  <c r="A20" i="1"/>
  <c r="Q19" i="1"/>
  <c r="H19" i="1"/>
  <c r="D19" i="1"/>
  <c r="A19" i="1"/>
  <c r="Q18" i="1"/>
  <c r="H18" i="1"/>
  <c r="D18" i="1"/>
  <c r="A18" i="1"/>
  <c r="Q17" i="1"/>
  <c r="H17" i="1"/>
  <c r="D17" i="1"/>
  <c r="A17" i="1"/>
  <c r="Q16" i="1"/>
  <c r="H16" i="1"/>
  <c r="D16" i="1"/>
  <c r="A16" i="1"/>
  <c r="Q15" i="1"/>
  <c r="H15" i="1"/>
  <c r="D15" i="1"/>
  <c r="A15" i="1"/>
  <c r="Q14" i="1"/>
  <c r="H14" i="1"/>
  <c r="D14" i="1"/>
  <c r="A14" i="1"/>
  <c r="Q13" i="1"/>
  <c r="H13" i="1"/>
  <c r="D13" i="1"/>
  <c r="A13" i="1"/>
  <c r="Q12" i="1"/>
  <c r="H12" i="1"/>
  <c r="D12" i="1"/>
  <c r="A12" i="1"/>
  <c r="Q11" i="1"/>
  <c r="H11" i="1"/>
  <c r="D11" i="1"/>
  <c r="A11" i="1"/>
  <c r="Q10" i="1"/>
  <c r="H10" i="1"/>
  <c r="D10" i="1"/>
  <c r="A10" i="1"/>
  <c r="Q9" i="1"/>
  <c r="H9" i="1"/>
  <c r="D9" i="1"/>
  <c r="A9" i="1"/>
  <c r="Q8" i="1"/>
  <c r="H8" i="1"/>
  <c r="D8" i="1"/>
  <c r="A8" i="1"/>
  <c r="Q7" i="1"/>
  <c r="H7" i="1"/>
  <c r="D7" i="1"/>
  <c r="A7" i="1"/>
  <c r="Q6" i="1"/>
  <c r="H6" i="1"/>
  <c r="D6" i="1"/>
  <c r="A6" i="1"/>
  <c r="Q5" i="1"/>
  <c r="H5" i="1"/>
  <c r="D5" i="1"/>
  <c r="A5" i="1"/>
  <c r="Q4" i="1"/>
  <c r="H4" i="1"/>
  <c r="D4" i="1"/>
  <c r="A4" i="1"/>
  <c r="Q3" i="1"/>
  <c r="H3" i="1"/>
  <c r="D3" i="1"/>
  <c r="A3" i="1"/>
  <c r="Q2" i="1"/>
  <c r="H2" i="1"/>
  <c r="D2" i="1"/>
  <c r="A2" i="1"/>
</calcChain>
</file>

<file path=xl/sharedStrings.xml><?xml version="1.0" encoding="utf-8"?>
<sst xmlns="http://schemas.openxmlformats.org/spreadsheetml/2006/main" count="368" uniqueCount="116">
  <si>
    <t>Function</t>
  </si>
  <si>
    <t>Created</t>
  </si>
  <si>
    <t>Params</t>
  </si>
  <si>
    <t>Exec Time</t>
  </si>
  <si>
    <t>Result</t>
  </si>
  <si>
    <t>Import117byISN</t>
  </si>
  <si>
    <t>CUSTOMER</t>
  </si>
  <si>
    <t>ORDER NO</t>
  </si>
  <si>
    <t>ORDER DATE</t>
  </si>
  <si>
    <t>CUSTOMER REFERENCE NO</t>
  </si>
  <si>
    <t>IN</t>
  </si>
  <si>
    <t>LINE NO</t>
  </si>
  <si>
    <t>ITEM NUMBER</t>
  </si>
  <si>
    <t>ITEM DESCRIPTION</t>
  </si>
  <si>
    <t>ORDER QTY</t>
  </si>
  <si>
    <t>AVAILABLE QTY</t>
  </si>
  <si>
    <t>QTY TO SHIP</t>
  </si>
  <si>
    <t>BO QTY</t>
  </si>
  <si>
    <t>QTY SHIPPED</t>
  </si>
  <si>
    <t>PO NUMBER</t>
  </si>
  <si>
    <t>PROMISE DATE</t>
  </si>
  <si>
    <t>PO LINE NUM</t>
  </si>
  <si>
    <t>SUPPLIER NUM</t>
  </si>
  <si>
    <t xml:space="preserve">      </t>
  </si>
  <si>
    <t xml:space="preserve">78-4041-       </t>
  </si>
  <si>
    <t xml:space="preserve">        </t>
  </si>
  <si>
    <t xml:space="preserve">    </t>
  </si>
  <si>
    <t xml:space="preserve">            </t>
  </si>
  <si>
    <t xml:space="preserve">80-1462-01406  </t>
  </si>
  <si>
    <t xml:space="preserve">78-5901-25507  </t>
  </si>
  <si>
    <t xml:space="preserve">78-9631-92051  </t>
  </si>
  <si>
    <t xml:space="preserve">78-4826-98980  </t>
  </si>
  <si>
    <t xml:space="preserve">78-4826-98978  </t>
  </si>
  <si>
    <t xml:space="preserve">78-4826-98979  </t>
  </si>
  <si>
    <t xml:space="preserve">47-0220-98565  </t>
  </si>
  <si>
    <t xml:space="preserve">78-4826-98986  </t>
  </si>
  <si>
    <t xml:space="preserve">78-4826-98984  </t>
  </si>
  <si>
    <t xml:space="preserve">78-8420-98997  </t>
  </si>
  <si>
    <t xml:space="preserve">78-8420-98996  </t>
  </si>
  <si>
    <t xml:space="preserve">78-8420-90971  </t>
  </si>
  <si>
    <t>Report Type: DS</t>
  </si>
  <si>
    <t>Complete</t>
  </si>
  <si>
    <t>Destination: A1</t>
  </si>
  <si>
    <t>Report Type: BO</t>
  </si>
  <si>
    <t>Sales #: 14</t>
  </si>
  <si>
    <t xml:space="preserve">78-9236-       </t>
  </si>
  <si>
    <t xml:space="preserve">03-1293-40796  </t>
  </si>
  <si>
    <t xml:space="preserve">DS-8417-68020  </t>
  </si>
  <si>
    <t xml:space="preserve">78-5450-33203  </t>
  </si>
  <si>
    <t xml:space="preserve">78-3310-17091  </t>
  </si>
  <si>
    <t xml:space="preserve">78-2113-13483  </t>
  </si>
  <si>
    <t xml:space="preserve">78-4041-1      </t>
  </si>
  <si>
    <t xml:space="preserve">40-0396-98992  </t>
  </si>
  <si>
    <t xml:space="preserve">78-2113-13017  </t>
  </si>
  <si>
    <t xml:space="preserve">78-2113-13018  </t>
  </si>
  <si>
    <t xml:space="preserve">05-4007-43684  </t>
  </si>
  <si>
    <t xml:space="preserve">78-0961-98980  </t>
  </si>
  <si>
    <t xml:space="preserve">78-2274-17140  </t>
  </si>
  <si>
    <t xml:space="preserve">78-3126-00023  </t>
  </si>
  <si>
    <t xml:space="preserve">78-9866-98998  </t>
  </si>
  <si>
    <t xml:space="preserve">40-0947-98911  </t>
  </si>
  <si>
    <t xml:space="preserve">78-4041-0      </t>
  </si>
  <si>
    <t xml:space="preserve">37-3321-26665  </t>
  </si>
  <si>
    <t xml:space="preserve">40-0948-98998  </t>
  </si>
  <si>
    <t xml:space="preserve">81-4992-98895  </t>
  </si>
  <si>
    <t xml:space="preserve">78-6364-10680  </t>
  </si>
  <si>
    <t xml:space="preserve">78-6679-19035  </t>
  </si>
  <si>
    <t xml:space="preserve">78-6364-42802  </t>
  </si>
  <si>
    <t xml:space="preserve">03-9800-04490  </t>
  </si>
  <si>
    <t xml:space="preserve">01-9428-08026  </t>
  </si>
  <si>
    <t xml:space="preserve">40-0797-92004  </t>
  </si>
  <si>
    <t xml:space="preserve">08-0529-11011  </t>
  </si>
  <si>
    <t xml:space="preserve">78-0373-95665  </t>
  </si>
  <si>
    <t xml:space="preserve">78-6210-83914  </t>
  </si>
  <si>
    <t xml:space="preserve">09-6359-30664  </t>
  </si>
  <si>
    <t xml:space="preserve">78-8907-98975  </t>
  </si>
  <si>
    <t xml:space="preserve">60-3390-11511  </t>
  </si>
  <si>
    <t xml:space="preserve">78-6677-14271  </t>
  </si>
  <si>
    <t xml:space="preserve">78-9827-92216  </t>
  </si>
  <si>
    <t xml:space="preserve">78-9827-92221  </t>
  </si>
  <si>
    <t xml:space="preserve">78-2274-70300  </t>
  </si>
  <si>
    <t xml:space="preserve">40-0947-98973  </t>
  </si>
  <si>
    <t xml:space="preserve">40-0947-98986  </t>
  </si>
  <si>
    <t xml:space="preserve">78-2114-78683  </t>
  </si>
  <si>
    <t xml:space="preserve">78-2113-18101  </t>
  </si>
  <si>
    <t xml:space="preserve">78-3250-31291  </t>
  </si>
  <si>
    <t xml:space="preserve">81-4992-00454  </t>
  </si>
  <si>
    <t xml:space="preserve">78-0100-22910  </t>
  </si>
  <si>
    <t xml:space="preserve">70-0880-26917  </t>
  </si>
  <si>
    <t xml:space="preserve">78-6364-01612  </t>
  </si>
  <si>
    <t xml:space="preserve">78-3166-31172  </t>
  </si>
  <si>
    <t xml:space="preserve">78-3786-62691  </t>
  </si>
  <si>
    <t xml:space="preserve">78-3585-01391  </t>
  </si>
  <si>
    <t xml:space="preserve">07-4983-55319  </t>
  </si>
  <si>
    <t xml:space="preserve">78-6679-15081  </t>
  </si>
  <si>
    <t xml:space="preserve">78-5450-26663  </t>
  </si>
  <si>
    <t xml:space="preserve">78-6680-00536  </t>
  </si>
  <si>
    <t xml:space="preserve">02-1200-19927  </t>
  </si>
  <si>
    <t xml:space="preserve">78-4041-95501  </t>
  </si>
  <si>
    <t xml:space="preserve">78-2274-37930  </t>
  </si>
  <si>
    <t xml:space="preserve">78-4041-96281  </t>
  </si>
  <si>
    <t xml:space="preserve">07-3310-19378  </t>
  </si>
  <si>
    <t xml:space="preserve">78-4041-16805  </t>
  </si>
  <si>
    <t xml:space="preserve">09-5969-25745  </t>
  </si>
  <si>
    <t xml:space="preserve">78-3164-13554  </t>
  </si>
  <si>
    <t>Import473</t>
  </si>
  <si>
    <t>A1</t>
  </si>
  <si>
    <t>ReportType: BO</t>
  </si>
  <si>
    <t>Failed - User Aborted</t>
  </si>
  <si>
    <t>DeleteFile</t>
  </si>
  <si>
    <t>C:\Users\treische\Documents\Macros\Branch Macros\Open_Order_Report\Code\Open Order Report\All_Helper_Functions.bas</t>
  </si>
  <si>
    <t>ExportCode</t>
  </si>
  <si>
    <t>Err #: 53</t>
  </si>
  <si>
    <t>C:\Users\treische\Documents\Macros\Branch Macros\Open_Order_Report\Code\Open Order Report\Program.bas</t>
  </si>
  <si>
    <t>C:\Users\treische\Documents\Macros\Branch Macros\Open_Order_Report\Code\Open Order Report\FormatData.bas</t>
  </si>
  <si>
    <t>C:\Users\treische\Documents\Macros\Branch Macros\Open_Order_Report\Code\Open Order Report\Imports.bas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</si>
</sst>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6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600075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33"/>
  <sheetViews>
    <sheetView workbookViewId="0">
      <selection activeCell="C3" sqref="C3"/>
    </sheetView>
  </sheetViews>
  <sheetFormatPr defaultRowHeight="15" x14ac:dyDescent="0.25"/>
  <cols>
    <col min="1" max="1" width="10.7109375" bestFit="1" customWidth="1"/>
    <col min="2" max="2" width="10.28515625" bestFit="1" customWidth="1"/>
    <col min="3" max="3" width="12" bestFit="1" customWidth="1"/>
    <col min="4" max="4" width="24.7109375" bestFit="1" customWidth="1"/>
    <col min="5" max="5" width="3" bestFit="1" customWidth="1"/>
    <col min="6" max="6" width="8.140625" bestFit="1" customWidth="1"/>
    <col min="7" max="7" width="14.7109375" bestFit="1" customWidth="1"/>
    <col min="8" max="8" width="28.28515625" bestFit="1" customWidth="1"/>
    <col min="9" max="9" width="10.85546875" bestFit="1" customWidth="1"/>
    <col min="10" max="10" width="14.5703125" bestFit="1" customWidth="1"/>
    <col min="11" max="11" width="11.7109375" bestFit="1" customWidth="1"/>
    <col min="12" max="12" width="7.42578125" bestFit="1" customWidth="1"/>
    <col min="13" max="13" width="12.28515625" bestFit="1" customWidth="1"/>
    <col min="14" max="14" width="11.7109375" bestFit="1" customWidth="1"/>
    <col min="15" max="15" width="14.140625" bestFit="1" customWidth="1"/>
    <col min="16" max="16" width="12.7109375" bestFit="1" customWidth="1"/>
    <col min="17" max="17" width="14.140625" bestFit="1" customWidth="1"/>
  </cols>
  <sheetData>
    <row r="1" spans="1:1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</row>
    <row r="2" spans="1:17" x14ac:dyDescent="0.25">
      <c r="A2" t="str">
        <f t="shared" ref="A2:A43" si="0">"19170"</f>
        <v>19170</v>
      </c>
      <c r="B2">
        <v>6236</v>
      </c>
      <c r="C2" s="1">
        <v>41036</v>
      </c>
      <c r="D2" t="str">
        <f>"00158802            "</f>
        <v xml:space="preserve">00158802            </v>
      </c>
      <c r="E2">
        <v>14</v>
      </c>
      <c r="F2">
        <v>30</v>
      </c>
      <c r="G2" t="s">
        <v>24</v>
      </c>
      <c r="H2" t="str">
        <f>"IND***GE DSFCA5B RELAY  "</f>
        <v xml:space="preserve">IND***GE DSFCA5B RELAY  </v>
      </c>
      <c r="I2">
        <v>3</v>
      </c>
      <c r="J2">
        <v>0</v>
      </c>
      <c r="K2">
        <v>0</v>
      </c>
      <c r="L2">
        <v>3</v>
      </c>
      <c r="M2">
        <v>0</v>
      </c>
      <c r="N2">
        <v>6849</v>
      </c>
      <c r="O2" t="s">
        <v>25</v>
      </c>
      <c r="P2">
        <v>10</v>
      </c>
      <c r="Q2" t="str">
        <f>"XX7610   "</f>
        <v xml:space="preserve">XX7610   </v>
      </c>
    </row>
    <row r="3" spans="1:17" x14ac:dyDescent="0.25">
      <c r="A3" t="str">
        <f t="shared" si="0"/>
        <v>19170</v>
      </c>
      <c r="B3">
        <v>195547</v>
      </c>
      <c r="C3" s="1">
        <v>41093</v>
      </c>
      <c r="D3" t="str">
        <f>"00160879            "</f>
        <v xml:space="preserve">00160879            </v>
      </c>
      <c r="E3">
        <v>14</v>
      </c>
      <c r="F3">
        <v>226</v>
      </c>
      <c r="G3" t="s">
        <v>24</v>
      </c>
      <c r="H3" t="str">
        <f>"IND***AMREP A00442-20 IN"</f>
        <v>IND***AMREP A00442-20 IN</v>
      </c>
      <c r="I3">
        <v>22</v>
      </c>
      <c r="J3">
        <v>0</v>
      </c>
      <c r="K3">
        <v>0</v>
      </c>
      <c r="L3">
        <v>22</v>
      </c>
      <c r="M3">
        <v>0</v>
      </c>
      <c r="N3">
        <v>212179</v>
      </c>
      <c r="O3" s="1">
        <v>41141</v>
      </c>
      <c r="P3">
        <v>10</v>
      </c>
      <c r="Q3" t="str">
        <f>"78B939   "</f>
        <v xml:space="preserve">78B939   </v>
      </c>
    </row>
    <row r="4" spans="1:17" x14ac:dyDescent="0.25">
      <c r="A4" t="str">
        <f t="shared" si="0"/>
        <v>19170</v>
      </c>
      <c r="B4">
        <v>656982</v>
      </c>
      <c r="C4" s="1">
        <v>41247</v>
      </c>
      <c r="D4" t="str">
        <f>"HARD HAT FEE        "</f>
        <v xml:space="preserve">HARD HAT FEE        </v>
      </c>
      <c r="E4">
        <v>14</v>
      </c>
      <c r="F4">
        <v>10</v>
      </c>
      <c r="G4" t="s">
        <v>45</v>
      </c>
      <c r="H4" t="str">
        <f>"GEN***FEE - NEW DIES &amp; S"</f>
        <v>GEN***FEE - NEW DIES &amp; S</v>
      </c>
      <c r="I4">
        <v>1</v>
      </c>
      <c r="J4">
        <v>0</v>
      </c>
      <c r="K4">
        <v>0</v>
      </c>
      <c r="L4">
        <v>1</v>
      </c>
      <c r="M4">
        <v>0</v>
      </c>
      <c r="N4" t="s">
        <v>23</v>
      </c>
      <c r="O4" t="s">
        <v>25</v>
      </c>
      <c r="P4" t="s">
        <v>26</v>
      </c>
      <c r="Q4" t="str">
        <f>"         "</f>
        <v xml:space="preserve">         </v>
      </c>
    </row>
    <row r="5" spans="1:17" x14ac:dyDescent="0.25">
      <c r="A5" t="str">
        <f t="shared" si="0"/>
        <v>19170</v>
      </c>
      <c r="B5">
        <v>688198</v>
      </c>
      <c r="C5" s="1">
        <v>41257</v>
      </c>
      <c r="D5" t="str">
        <f>"HARD HAT CONVERSION2"</f>
        <v>HARD HAT CONVERSION2</v>
      </c>
      <c r="E5">
        <v>14</v>
      </c>
      <c r="F5">
        <v>38</v>
      </c>
      <c r="G5" t="s">
        <v>45</v>
      </c>
      <c r="H5" t="str">
        <f>"GEN***A-TGD-1EBAB2140000"</f>
        <v>GEN***A-TGD-1EBAB2140000</v>
      </c>
      <c r="I5">
        <v>4500</v>
      </c>
      <c r="J5">
        <v>0</v>
      </c>
      <c r="K5">
        <v>0</v>
      </c>
      <c r="L5">
        <v>4500</v>
      </c>
      <c r="M5">
        <v>0</v>
      </c>
      <c r="N5" t="s">
        <v>23</v>
      </c>
      <c r="O5" t="s">
        <v>25</v>
      </c>
      <c r="P5" t="s">
        <v>26</v>
      </c>
      <c r="Q5" t="str">
        <f>"         "</f>
        <v xml:space="preserve">         </v>
      </c>
    </row>
    <row r="6" spans="1:17" x14ac:dyDescent="0.25">
      <c r="A6" t="str">
        <f t="shared" si="0"/>
        <v>19170</v>
      </c>
      <c r="B6">
        <v>688198</v>
      </c>
      <c r="C6" s="1">
        <v>41257</v>
      </c>
      <c r="D6" t="str">
        <f>"HARD HAT CONVERSION2"</f>
        <v>HARD HAT CONVERSION2</v>
      </c>
      <c r="E6">
        <v>14</v>
      </c>
      <c r="F6">
        <v>48</v>
      </c>
      <c r="G6" t="s">
        <v>45</v>
      </c>
      <c r="H6" t="str">
        <f>"GEN***A-TGD-1EBAB2140000"</f>
        <v>GEN***A-TGD-1EBAB2140000</v>
      </c>
      <c r="I6">
        <v>1000</v>
      </c>
      <c r="J6">
        <v>0</v>
      </c>
      <c r="K6">
        <v>0</v>
      </c>
      <c r="L6">
        <v>1000</v>
      </c>
      <c r="M6">
        <v>0</v>
      </c>
      <c r="N6" t="s">
        <v>23</v>
      </c>
      <c r="O6" t="s">
        <v>25</v>
      </c>
      <c r="P6" t="s">
        <v>26</v>
      </c>
      <c r="Q6" t="str">
        <f>"         "</f>
        <v xml:space="preserve">         </v>
      </c>
    </row>
    <row r="7" spans="1:17" x14ac:dyDescent="0.25">
      <c r="A7" t="str">
        <f t="shared" si="0"/>
        <v>19170</v>
      </c>
      <c r="B7">
        <v>718516</v>
      </c>
      <c r="C7" s="1">
        <v>41277</v>
      </c>
      <c r="D7" t="str">
        <f>"00167198            "</f>
        <v xml:space="preserve">00167198            </v>
      </c>
      <c r="E7">
        <v>14</v>
      </c>
      <c r="F7">
        <v>74</v>
      </c>
      <c r="G7" t="s">
        <v>24</v>
      </c>
      <c r="H7" t="str">
        <f>"IND***506283 ORANGE ZIP "</f>
        <v xml:space="preserve">IND***506283 ORANGE ZIP </v>
      </c>
      <c r="I7">
        <v>24000</v>
      </c>
      <c r="J7">
        <v>0</v>
      </c>
      <c r="K7">
        <v>0</v>
      </c>
      <c r="L7">
        <v>24000</v>
      </c>
      <c r="M7">
        <v>0</v>
      </c>
      <c r="N7">
        <v>718539</v>
      </c>
      <c r="O7" s="1">
        <v>41340</v>
      </c>
      <c r="P7">
        <v>10</v>
      </c>
      <c r="Q7" t="str">
        <f>"78AS78   "</f>
        <v xml:space="preserve">78AS78   </v>
      </c>
    </row>
    <row r="8" spans="1:17" x14ac:dyDescent="0.25">
      <c r="A8" t="str">
        <f t="shared" si="0"/>
        <v>19170</v>
      </c>
      <c r="B8">
        <v>838182</v>
      </c>
      <c r="C8" s="1">
        <v>41323</v>
      </c>
      <c r="D8" t="str">
        <f>"00168819            "</f>
        <v xml:space="preserve">00168819            </v>
      </c>
      <c r="E8">
        <v>14</v>
      </c>
      <c r="F8">
        <v>10</v>
      </c>
      <c r="G8" t="s">
        <v>24</v>
      </c>
      <c r="H8" t="str">
        <f>"IND***191570 VELCRO 1 X7"</f>
        <v>IND***191570 VELCRO 1 X7</v>
      </c>
      <c r="I8">
        <v>2400</v>
      </c>
      <c r="J8">
        <v>0</v>
      </c>
      <c r="K8">
        <v>0</v>
      </c>
      <c r="L8">
        <v>1600</v>
      </c>
      <c r="M8">
        <v>800</v>
      </c>
      <c r="N8">
        <v>838822</v>
      </c>
      <c r="O8" s="1">
        <v>41344</v>
      </c>
      <c r="P8">
        <v>10</v>
      </c>
      <c r="Q8" t="str">
        <f>"78B939   "</f>
        <v xml:space="preserve">78B939   </v>
      </c>
    </row>
    <row r="9" spans="1:17" x14ac:dyDescent="0.25">
      <c r="A9" t="str">
        <f t="shared" si="0"/>
        <v>19170</v>
      </c>
      <c r="B9">
        <v>845507</v>
      </c>
      <c r="C9" s="1">
        <v>41325</v>
      </c>
      <c r="D9" t="str">
        <f>"0009069101949       "</f>
        <v xml:space="preserve">0009069101949       </v>
      </c>
      <c r="E9">
        <v>14</v>
      </c>
      <c r="F9">
        <v>20</v>
      </c>
      <c r="G9" t="s">
        <v>46</v>
      </c>
      <c r="H9" t="str">
        <f>"EIKO 6S6/48V 6W CAND INC"</f>
        <v>EIKO 6S6/48V 6W CAND INC</v>
      </c>
      <c r="I9">
        <v>20</v>
      </c>
      <c r="J9">
        <v>0</v>
      </c>
      <c r="K9">
        <v>0</v>
      </c>
      <c r="L9">
        <v>20</v>
      </c>
      <c r="M9">
        <v>0</v>
      </c>
      <c r="N9">
        <v>846530</v>
      </c>
      <c r="O9" s="1">
        <v>41374</v>
      </c>
      <c r="P9">
        <v>10</v>
      </c>
      <c r="Q9" t="str">
        <f>"XX7302   "</f>
        <v xml:space="preserve">XX7302   </v>
      </c>
    </row>
    <row r="10" spans="1:17" x14ac:dyDescent="0.25">
      <c r="A10" t="str">
        <f t="shared" si="0"/>
        <v>19170</v>
      </c>
      <c r="B10">
        <v>858751</v>
      </c>
      <c r="C10" s="1">
        <v>41330</v>
      </c>
      <c r="D10" t="str">
        <f>"00166969            "</f>
        <v xml:space="preserve">00166969            </v>
      </c>
      <c r="E10">
        <v>14</v>
      </c>
      <c r="F10">
        <v>10</v>
      </c>
      <c r="G10" t="s">
        <v>47</v>
      </c>
      <c r="H10" t="str">
        <f>"IND     6  PVC CONDU    "</f>
        <v xml:space="preserve">IND     6  PVC CONDU    </v>
      </c>
      <c r="I10">
        <v>600</v>
      </c>
      <c r="J10">
        <v>0</v>
      </c>
      <c r="K10">
        <v>0</v>
      </c>
      <c r="L10">
        <v>600</v>
      </c>
      <c r="M10">
        <v>0</v>
      </c>
      <c r="N10" t="s">
        <v>23</v>
      </c>
      <c r="O10" t="s">
        <v>25</v>
      </c>
      <c r="P10" t="s">
        <v>26</v>
      </c>
      <c r="Q10" t="str">
        <f>"         "</f>
        <v xml:space="preserve">         </v>
      </c>
    </row>
    <row r="11" spans="1:17" x14ac:dyDescent="0.25">
      <c r="A11" t="str">
        <f t="shared" si="0"/>
        <v>19170</v>
      </c>
      <c r="B11">
        <v>899138</v>
      </c>
      <c r="C11" s="1">
        <v>41344</v>
      </c>
      <c r="D11" t="str">
        <f>"0016938600004       "</f>
        <v xml:space="preserve">0016938600004       </v>
      </c>
      <c r="E11">
        <v>14</v>
      </c>
      <c r="F11">
        <v>10</v>
      </c>
      <c r="G11" t="s">
        <v>48</v>
      </c>
      <c r="H11" t="str">
        <f>"MSA 458480  SMK TUBSVENT"</f>
        <v>MSA 458480  SMK TUBSVENT</v>
      </c>
      <c r="I11">
        <v>96</v>
      </c>
      <c r="J11">
        <v>0</v>
      </c>
      <c r="K11">
        <v>0</v>
      </c>
      <c r="L11">
        <v>96</v>
      </c>
      <c r="M11">
        <v>0</v>
      </c>
      <c r="N11">
        <v>900100</v>
      </c>
      <c r="O11" s="1">
        <v>41390</v>
      </c>
      <c r="P11">
        <v>70</v>
      </c>
      <c r="Q11" t="str">
        <f>"78M033   "</f>
        <v xml:space="preserve">78M033   </v>
      </c>
    </row>
    <row r="12" spans="1:17" x14ac:dyDescent="0.25">
      <c r="A12" t="str">
        <f t="shared" si="0"/>
        <v>19170</v>
      </c>
      <c r="B12">
        <v>903680</v>
      </c>
      <c r="C12" s="1">
        <v>41345</v>
      </c>
      <c r="D12" t="str">
        <f>"00169722            "</f>
        <v xml:space="preserve">00169722            </v>
      </c>
      <c r="E12">
        <v>14</v>
      </c>
      <c r="F12">
        <v>30</v>
      </c>
      <c r="G12" t="s">
        <v>24</v>
      </c>
      <c r="H12" t="str">
        <f>"IND***CR2940U200H LENS  "</f>
        <v xml:space="preserve">IND***CR2940U200H LENS  </v>
      </c>
      <c r="I12">
        <v>10</v>
      </c>
      <c r="J12">
        <v>0</v>
      </c>
      <c r="K12">
        <v>0</v>
      </c>
      <c r="L12">
        <v>10</v>
      </c>
      <c r="M12">
        <v>0</v>
      </c>
      <c r="N12">
        <v>904158</v>
      </c>
      <c r="O12" t="s">
        <v>25</v>
      </c>
      <c r="P12">
        <v>10</v>
      </c>
      <c r="Q12" t="str">
        <f>"XX7611   "</f>
        <v xml:space="preserve">XX7611   </v>
      </c>
    </row>
    <row r="13" spans="1:17" x14ac:dyDescent="0.25">
      <c r="A13" t="str">
        <f t="shared" si="0"/>
        <v>19170</v>
      </c>
      <c r="B13">
        <v>904764</v>
      </c>
      <c r="C13" s="1">
        <v>41345</v>
      </c>
      <c r="D13" t="str">
        <f>"00169764            "</f>
        <v xml:space="preserve">00169764            </v>
      </c>
      <c r="E13">
        <v>14</v>
      </c>
      <c r="F13">
        <v>10</v>
      </c>
      <c r="G13" t="s">
        <v>49</v>
      </c>
      <c r="H13" t="str">
        <f>"GRN 746 RAM UNIT F/HYD P"</f>
        <v>GRN 746 RAM UNIT F/HYD P</v>
      </c>
      <c r="I13">
        <v>1</v>
      </c>
      <c r="J13">
        <v>0</v>
      </c>
      <c r="K13">
        <v>0</v>
      </c>
      <c r="L13">
        <v>1</v>
      </c>
      <c r="M13">
        <v>0</v>
      </c>
      <c r="N13">
        <v>907807</v>
      </c>
      <c r="O13" s="1">
        <v>41374</v>
      </c>
      <c r="P13">
        <v>190</v>
      </c>
      <c r="Q13" t="str">
        <f>"XX7302   "</f>
        <v xml:space="preserve">XX7302   </v>
      </c>
    </row>
    <row r="14" spans="1:17" x14ac:dyDescent="0.25">
      <c r="A14" t="str">
        <f t="shared" si="0"/>
        <v>19170</v>
      </c>
      <c r="B14">
        <v>907129</v>
      </c>
      <c r="C14" s="1">
        <v>41346</v>
      </c>
      <c r="D14" t="str">
        <f>"0016938600015       "</f>
        <v xml:space="preserve">0016938600015       </v>
      </c>
      <c r="E14">
        <v>14</v>
      </c>
      <c r="F14">
        <v>20</v>
      </c>
      <c r="G14" t="s">
        <v>24</v>
      </c>
      <c r="H14" t="str">
        <f>"IND***598-5635 1IN CHINA"</f>
        <v>IND***598-5635 1IN CHINA</v>
      </c>
      <c r="I14">
        <v>236</v>
      </c>
      <c r="J14">
        <v>0</v>
      </c>
      <c r="K14">
        <v>0</v>
      </c>
      <c r="L14">
        <v>2</v>
      </c>
      <c r="M14">
        <v>234</v>
      </c>
      <c r="N14">
        <v>907793</v>
      </c>
      <c r="O14" s="1">
        <v>41353</v>
      </c>
      <c r="P14">
        <v>20</v>
      </c>
      <c r="Q14" t="str">
        <f>"78ST05   "</f>
        <v xml:space="preserve">78ST05   </v>
      </c>
    </row>
    <row r="15" spans="1:17" x14ac:dyDescent="0.25">
      <c r="A15" t="str">
        <f t="shared" si="0"/>
        <v>19170</v>
      </c>
      <c r="B15">
        <v>912347</v>
      </c>
      <c r="C15" s="1">
        <v>41347</v>
      </c>
      <c r="D15" t="str">
        <f>"00169877            "</f>
        <v xml:space="preserve">00169877            </v>
      </c>
      <c r="E15">
        <v>14</v>
      </c>
      <c r="F15">
        <v>10</v>
      </c>
      <c r="G15" t="s">
        <v>24</v>
      </c>
      <c r="H15" t="str">
        <f>"IND***5550-011-02 SELECT"</f>
        <v>IND***5550-011-02 SELECT</v>
      </c>
      <c r="I15">
        <v>1</v>
      </c>
      <c r="J15">
        <v>0</v>
      </c>
      <c r="K15">
        <v>0</v>
      </c>
      <c r="L15">
        <v>1</v>
      </c>
      <c r="M15">
        <v>0</v>
      </c>
      <c r="N15">
        <v>916005</v>
      </c>
      <c r="O15" s="1">
        <v>41376</v>
      </c>
      <c r="P15">
        <v>10</v>
      </c>
      <c r="Q15" t="str">
        <f>"78M168   "</f>
        <v xml:space="preserve">78M168   </v>
      </c>
    </row>
    <row r="16" spans="1:17" x14ac:dyDescent="0.25">
      <c r="A16" t="str">
        <f t="shared" si="0"/>
        <v>19170</v>
      </c>
      <c r="B16">
        <v>916243</v>
      </c>
      <c r="C16" s="1">
        <v>41348</v>
      </c>
      <c r="D16" t="str">
        <f>"0016938600017       "</f>
        <v xml:space="preserve">0016938600017       </v>
      </c>
      <c r="E16">
        <v>14</v>
      </c>
      <c r="F16">
        <v>20</v>
      </c>
      <c r="G16" t="s">
        <v>50</v>
      </c>
      <c r="H16" t="str">
        <f>"C-H E29NY11 IND LIGHT   "</f>
        <v xml:space="preserve">C-H E29NY11 IND LIGHT   </v>
      </c>
      <c r="I16">
        <v>20</v>
      </c>
      <c r="J16">
        <v>0</v>
      </c>
      <c r="K16">
        <v>0</v>
      </c>
      <c r="L16">
        <v>20</v>
      </c>
      <c r="M16">
        <v>0</v>
      </c>
      <c r="N16">
        <v>919950</v>
      </c>
      <c r="O16" s="1">
        <v>41373</v>
      </c>
      <c r="P16">
        <v>80</v>
      </c>
      <c r="Q16" t="str">
        <f>"XX7302   "</f>
        <v xml:space="preserve">XX7302   </v>
      </c>
    </row>
    <row r="17" spans="1:17" x14ac:dyDescent="0.25">
      <c r="A17" t="str">
        <f t="shared" si="0"/>
        <v>19170</v>
      </c>
      <c r="B17">
        <v>918741</v>
      </c>
      <c r="C17" s="1">
        <v>41351</v>
      </c>
      <c r="D17" t="str">
        <f>"0016938600018       "</f>
        <v xml:space="preserve">0016938600018       </v>
      </c>
      <c r="E17">
        <v>14</v>
      </c>
      <c r="F17">
        <v>20</v>
      </c>
      <c r="G17" t="s">
        <v>29</v>
      </c>
      <c r="H17" t="str">
        <f>"SQD QO120GFI MINIATURE C"</f>
        <v>SQD QO120GFI MINIATURE C</v>
      </c>
      <c r="I17">
        <v>3</v>
      </c>
      <c r="J17">
        <v>0</v>
      </c>
      <c r="K17">
        <v>0</v>
      </c>
      <c r="L17">
        <v>3</v>
      </c>
      <c r="M17">
        <v>0</v>
      </c>
      <c r="N17">
        <v>919931</v>
      </c>
      <c r="O17" s="1">
        <v>41359</v>
      </c>
      <c r="P17">
        <v>20</v>
      </c>
      <c r="Q17" t="str">
        <f>"78ID29   "</f>
        <v xml:space="preserve">78ID29   </v>
      </c>
    </row>
    <row r="18" spans="1:17" x14ac:dyDescent="0.25">
      <c r="A18" t="str">
        <f t="shared" si="0"/>
        <v>19170</v>
      </c>
      <c r="B18">
        <v>935408</v>
      </c>
      <c r="C18" s="1">
        <v>41355</v>
      </c>
      <c r="D18" t="str">
        <f>"00170152            "</f>
        <v xml:space="preserve">00170152            </v>
      </c>
      <c r="E18">
        <v>14</v>
      </c>
      <c r="F18">
        <v>10</v>
      </c>
      <c r="G18" t="s">
        <v>51</v>
      </c>
      <c r="H18" t="str">
        <f>"IND***101-JU-A-2-C-009.2"</f>
        <v>IND***101-JU-A-2-C-009.2</v>
      </c>
      <c r="I18">
        <v>1</v>
      </c>
      <c r="J18">
        <v>0</v>
      </c>
      <c r="K18">
        <v>0</v>
      </c>
      <c r="L18">
        <v>1</v>
      </c>
      <c r="M18">
        <v>0</v>
      </c>
      <c r="N18">
        <v>938263</v>
      </c>
      <c r="O18" s="1">
        <v>41389</v>
      </c>
      <c r="P18">
        <v>10</v>
      </c>
      <c r="Q18" t="str">
        <f>"78W448   "</f>
        <v xml:space="preserve">78W448   </v>
      </c>
    </row>
    <row r="19" spans="1:17" x14ac:dyDescent="0.25">
      <c r="A19" t="str">
        <f t="shared" si="0"/>
        <v>19170</v>
      </c>
      <c r="B19">
        <v>935408</v>
      </c>
      <c r="C19" s="1">
        <v>41355</v>
      </c>
      <c r="D19" t="str">
        <f>"00170152            "</f>
        <v xml:space="preserve">00170152            </v>
      </c>
      <c r="E19">
        <v>14</v>
      </c>
      <c r="F19">
        <v>22</v>
      </c>
      <c r="G19" t="s">
        <v>24</v>
      </c>
      <c r="H19" t="str">
        <f>"IND***22-(4018)-11-1.3-8"</f>
        <v>IND***22-(4018)-11-1.3-8</v>
      </c>
      <c r="I19">
        <v>4</v>
      </c>
      <c r="J19">
        <v>0</v>
      </c>
      <c r="K19">
        <v>0</v>
      </c>
      <c r="L19">
        <v>4</v>
      </c>
      <c r="M19">
        <v>0</v>
      </c>
      <c r="N19">
        <v>938249</v>
      </c>
      <c r="O19" s="1">
        <v>41394</v>
      </c>
      <c r="P19">
        <v>10</v>
      </c>
      <c r="Q19" t="str">
        <f>"78P014   "</f>
        <v xml:space="preserve">78P014   </v>
      </c>
    </row>
    <row r="20" spans="1:17" x14ac:dyDescent="0.25">
      <c r="A20" t="str">
        <f t="shared" si="0"/>
        <v>19170</v>
      </c>
      <c r="B20">
        <v>941729</v>
      </c>
      <c r="C20" s="1">
        <v>41359</v>
      </c>
      <c r="D20" t="str">
        <f>"0016938600028       "</f>
        <v xml:space="preserve">0016938600028       </v>
      </c>
      <c r="E20">
        <v>14</v>
      </c>
      <c r="F20">
        <v>10</v>
      </c>
      <c r="G20" t="s">
        <v>52</v>
      </c>
      <c r="H20" t="str">
        <f>"EAGL CF6V33-C BATTERY   "</f>
        <v xml:space="preserve">EAGL CF6V33-C BATTERY   </v>
      </c>
      <c r="I20">
        <v>22</v>
      </c>
      <c r="J20">
        <v>0</v>
      </c>
      <c r="K20">
        <v>0</v>
      </c>
      <c r="L20">
        <v>22</v>
      </c>
      <c r="M20">
        <v>0</v>
      </c>
      <c r="N20">
        <v>942242</v>
      </c>
      <c r="O20" s="1">
        <v>41369</v>
      </c>
      <c r="P20">
        <v>10</v>
      </c>
      <c r="Q20" t="str">
        <f>"78A160   "</f>
        <v xml:space="preserve">78A160   </v>
      </c>
    </row>
    <row r="21" spans="1:17" x14ac:dyDescent="0.25">
      <c r="A21" t="str">
        <f t="shared" si="0"/>
        <v>19170</v>
      </c>
      <c r="B21">
        <v>946806</v>
      </c>
      <c r="C21" s="1">
        <v>41360</v>
      </c>
      <c r="D21" t="str">
        <f>"00170357            "</f>
        <v xml:space="preserve">00170357            </v>
      </c>
      <c r="E21">
        <v>14</v>
      </c>
      <c r="F21">
        <v>23</v>
      </c>
      <c r="G21" t="s">
        <v>24</v>
      </c>
      <c r="H21" t="str">
        <f>"IND***458958 ORANGE SLEE"</f>
        <v>IND***458958 ORANGE SLEE</v>
      </c>
      <c r="I21">
        <v>10</v>
      </c>
      <c r="J21">
        <v>0</v>
      </c>
      <c r="K21">
        <v>0</v>
      </c>
      <c r="L21">
        <v>10</v>
      </c>
      <c r="M21">
        <v>0</v>
      </c>
      <c r="N21">
        <v>950077</v>
      </c>
      <c r="O21" s="1">
        <v>41383</v>
      </c>
      <c r="P21">
        <v>10</v>
      </c>
      <c r="Q21" t="str">
        <f>"78AS78   "</f>
        <v xml:space="preserve">78AS78   </v>
      </c>
    </row>
    <row r="22" spans="1:17" x14ac:dyDescent="0.25">
      <c r="A22" t="str">
        <f t="shared" si="0"/>
        <v>19170</v>
      </c>
      <c r="B22">
        <v>964326</v>
      </c>
      <c r="C22" s="1">
        <v>41366</v>
      </c>
      <c r="D22" t="str">
        <f>"0016938600035       "</f>
        <v xml:space="preserve">0016938600035       </v>
      </c>
      <c r="E22">
        <v>14</v>
      </c>
      <c r="F22">
        <v>30</v>
      </c>
      <c r="G22" t="s">
        <v>50</v>
      </c>
      <c r="H22" t="str">
        <f>"C-H E29NY11 IND LIGHT   "</f>
        <v xml:space="preserve">C-H E29NY11 IND LIGHT   </v>
      </c>
      <c r="I22">
        <v>10</v>
      </c>
      <c r="J22">
        <v>0</v>
      </c>
      <c r="K22">
        <v>0</v>
      </c>
      <c r="L22">
        <v>10</v>
      </c>
      <c r="M22">
        <v>0</v>
      </c>
      <c r="N22">
        <v>967923</v>
      </c>
      <c r="O22" s="1">
        <v>41382</v>
      </c>
      <c r="P22">
        <v>90</v>
      </c>
      <c r="Q22" t="str">
        <f>"XX7302   "</f>
        <v xml:space="preserve">XX7302   </v>
      </c>
    </row>
    <row r="23" spans="1:17" x14ac:dyDescent="0.25">
      <c r="A23" t="str">
        <f t="shared" si="0"/>
        <v>19170</v>
      </c>
      <c r="B23">
        <v>967111</v>
      </c>
      <c r="C23" s="1">
        <v>41367</v>
      </c>
      <c r="D23" t="str">
        <f>"0016938600036       "</f>
        <v xml:space="preserve">0016938600036       </v>
      </c>
      <c r="E23">
        <v>14</v>
      </c>
      <c r="F23">
        <v>10</v>
      </c>
      <c r="G23" t="s">
        <v>54</v>
      </c>
      <c r="H23" t="str">
        <f>"C-H E29KPR INDICATING LI"</f>
        <v>C-H E29KPR INDICATING LI</v>
      </c>
      <c r="I23">
        <v>10</v>
      </c>
      <c r="J23">
        <v>0</v>
      </c>
      <c r="K23">
        <v>0</v>
      </c>
      <c r="L23">
        <v>9</v>
      </c>
      <c r="M23">
        <v>1</v>
      </c>
      <c r="N23">
        <v>967923</v>
      </c>
      <c r="O23" s="1">
        <v>16166</v>
      </c>
      <c r="P23">
        <v>80</v>
      </c>
      <c r="Q23" t="str">
        <f>"XX7302   "</f>
        <v xml:space="preserve">XX7302   </v>
      </c>
    </row>
    <row r="24" spans="1:17" x14ac:dyDescent="0.25">
      <c r="A24" t="str">
        <f t="shared" si="0"/>
        <v>19170</v>
      </c>
      <c r="B24">
        <v>967111</v>
      </c>
      <c r="C24" s="1">
        <v>41367</v>
      </c>
      <c r="D24" t="str">
        <f>"0016938600036       "</f>
        <v xml:space="preserve">0016938600036       </v>
      </c>
      <c r="E24">
        <v>14</v>
      </c>
      <c r="F24">
        <v>30</v>
      </c>
      <c r="G24" t="s">
        <v>53</v>
      </c>
      <c r="H24" t="str">
        <f>"C-H E29KPG INDICATING LI"</f>
        <v>C-H E29KPG INDICATING LI</v>
      </c>
      <c r="I24">
        <v>5</v>
      </c>
      <c r="J24">
        <v>0</v>
      </c>
      <c r="K24">
        <v>0</v>
      </c>
      <c r="L24">
        <v>5</v>
      </c>
      <c r="M24">
        <v>0</v>
      </c>
      <c r="N24">
        <v>967923</v>
      </c>
      <c r="O24" s="1">
        <v>16166</v>
      </c>
      <c r="P24">
        <v>60</v>
      </c>
      <c r="Q24" t="str">
        <f>"XX7302   "</f>
        <v xml:space="preserve">XX7302   </v>
      </c>
    </row>
    <row r="25" spans="1:17" x14ac:dyDescent="0.25">
      <c r="A25" t="str">
        <f t="shared" si="0"/>
        <v>19170</v>
      </c>
      <c r="B25">
        <v>967819</v>
      </c>
      <c r="C25" s="1">
        <v>41367</v>
      </c>
      <c r="D25" t="str">
        <f>"00170598            "</f>
        <v xml:space="preserve">00170598            </v>
      </c>
      <c r="E25">
        <v>14</v>
      </c>
      <c r="F25">
        <v>10</v>
      </c>
      <c r="G25" t="s">
        <v>24</v>
      </c>
      <c r="H25" t="str">
        <f>"IND***LANCS LI352 CONTAI"</f>
        <v>IND***LANCS LI352 CONTAI</v>
      </c>
      <c r="I25">
        <v>30</v>
      </c>
      <c r="J25">
        <v>0</v>
      </c>
      <c r="K25">
        <v>0</v>
      </c>
      <c r="L25">
        <v>30</v>
      </c>
      <c r="M25">
        <v>0</v>
      </c>
      <c r="N25">
        <v>967905</v>
      </c>
      <c r="O25" t="s">
        <v>25</v>
      </c>
      <c r="P25">
        <v>20</v>
      </c>
      <c r="Q25" t="str">
        <f>"78LE04   "</f>
        <v xml:space="preserve">78LE04   </v>
      </c>
    </row>
    <row r="26" spans="1:17" x14ac:dyDescent="0.25">
      <c r="A26" t="str">
        <f t="shared" si="0"/>
        <v>19170</v>
      </c>
      <c r="B26">
        <v>970612</v>
      </c>
      <c r="C26" s="1">
        <v>41368</v>
      </c>
      <c r="D26" t="str">
        <f>"0016938600037       "</f>
        <v xml:space="preserve">0016938600037       </v>
      </c>
      <c r="E26">
        <v>14</v>
      </c>
      <c r="F26">
        <v>10</v>
      </c>
      <c r="G26" t="s">
        <v>54</v>
      </c>
      <c r="H26" t="str">
        <f>"C-H E29KPR INDICATING LI"</f>
        <v>C-H E29KPR INDICATING LI</v>
      </c>
      <c r="I26">
        <v>2</v>
      </c>
      <c r="J26">
        <v>0</v>
      </c>
      <c r="K26">
        <v>0</v>
      </c>
      <c r="L26">
        <v>2</v>
      </c>
      <c r="M26">
        <v>0</v>
      </c>
      <c r="N26">
        <v>971755</v>
      </c>
      <c r="O26" s="1">
        <v>16166</v>
      </c>
      <c r="P26">
        <v>100</v>
      </c>
      <c r="Q26" t="str">
        <f>"XX7302   "</f>
        <v xml:space="preserve">XX7302   </v>
      </c>
    </row>
    <row r="27" spans="1:17" x14ac:dyDescent="0.25">
      <c r="A27" t="str">
        <f t="shared" si="0"/>
        <v>19170</v>
      </c>
      <c r="B27">
        <v>970863</v>
      </c>
      <c r="C27" s="1">
        <v>41368</v>
      </c>
      <c r="D27" t="str">
        <f>"00170627            "</f>
        <v xml:space="preserve">00170627            </v>
      </c>
      <c r="E27">
        <v>14</v>
      </c>
      <c r="F27">
        <v>20</v>
      </c>
      <c r="G27" t="s">
        <v>24</v>
      </c>
      <c r="H27" t="str">
        <f>"IND***AARON IND 90002 IS"</f>
        <v>IND***AARON IND 90002 IS</v>
      </c>
      <c r="I27">
        <v>24</v>
      </c>
      <c r="J27">
        <v>0</v>
      </c>
      <c r="K27">
        <v>0</v>
      </c>
      <c r="L27">
        <v>24</v>
      </c>
      <c r="M27">
        <v>0</v>
      </c>
      <c r="N27">
        <v>971739</v>
      </c>
      <c r="O27" t="s">
        <v>25</v>
      </c>
      <c r="P27">
        <v>70</v>
      </c>
      <c r="Q27" t="str">
        <f>"78ID29   "</f>
        <v xml:space="preserve">78ID29   </v>
      </c>
    </row>
    <row r="28" spans="1:17" x14ac:dyDescent="0.25">
      <c r="A28" t="str">
        <f t="shared" si="0"/>
        <v>19170</v>
      </c>
      <c r="B28">
        <v>970863</v>
      </c>
      <c r="C28" s="1">
        <v>41368</v>
      </c>
      <c r="D28" t="str">
        <f>"00170627            "</f>
        <v xml:space="preserve">00170627            </v>
      </c>
      <c r="E28">
        <v>14</v>
      </c>
      <c r="F28">
        <v>30</v>
      </c>
      <c r="G28" t="s">
        <v>24</v>
      </c>
      <c r="H28" t="str">
        <f>"IND***SANDISK 2.0 USB RE"</f>
        <v>IND***SANDISK 2.0 USB RE</v>
      </c>
      <c r="I28">
        <v>4</v>
      </c>
      <c r="J28">
        <v>0</v>
      </c>
      <c r="K28">
        <v>0</v>
      </c>
      <c r="L28">
        <v>4</v>
      </c>
      <c r="M28">
        <v>0</v>
      </c>
      <c r="N28">
        <v>971739</v>
      </c>
      <c r="O28" t="s">
        <v>25</v>
      </c>
      <c r="P28">
        <v>80</v>
      </c>
      <c r="Q28" t="str">
        <f>"78ID29   "</f>
        <v xml:space="preserve">78ID29   </v>
      </c>
    </row>
    <row r="29" spans="1:17" x14ac:dyDescent="0.25">
      <c r="A29" t="str">
        <f t="shared" si="0"/>
        <v>19170</v>
      </c>
      <c r="B29">
        <v>970863</v>
      </c>
      <c r="C29" s="1">
        <v>41368</v>
      </c>
      <c r="D29" t="str">
        <f>"00170627            "</f>
        <v xml:space="preserve">00170627            </v>
      </c>
      <c r="E29">
        <v>14</v>
      </c>
      <c r="F29">
        <v>50</v>
      </c>
      <c r="G29" t="s">
        <v>24</v>
      </c>
      <c r="H29" t="str">
        <f>"IND***P325-27W3A-X/9392 "</f>
        <v xml:space="preserve">IND***P325-27W3A-X/9392 </v>
      </c>
      <c r="I29">
        <v>9</v>
      </c>
      <c r="J29">
        <v>0</v>
      </c>
      <c r="K29">
        <v>0</v>
      </c>
      <c r="L29">
        <v>9</v>
      </c>
      <c r="M29">
        <v>0</v>
      </c>
      <c r="N29">
        <v>971753</v>
      </c>
      <c r="O29" t="s">
        <v>25</v>
      </c>
      <c r="P29">
        <v>10</v>
      </c>
      <c r="Q29" t="str">
        <f>"78WG74   "</f>
        <v xml:space="preserve">78WG74   </v>
      </c>
    </row>
    <row r="30" spans="1:17" x14ac:dyDescent="0.25">
      <c r="A30" t="str">
        <f t="shared" si="0"/>
        <v>19170</v>
      </c>
      <c r="B30">
        <v>970863</v>
      </c>
      <c r="C30" s="1">
        <v>41368</v>
      </c>
      <c r="D30" t="str">
        <f>"00170627            "</f>
        <v xml:space="preserve">00170627            </v>
      </c>
      <c r="E30">
        <v>14</v>
      </c>
      <c r="F30">
        <v>60</v>
      </c>
      <c r="G30" t="s">
        <v>55</v>
      </c>
      <c r="H30" t="str">
        <f>"3M 7693-S-4-3G CABLE TER"</f>
        <v>3M 7693-S-4-3G CABLE TER</v>
      </c>
      <c r="I30">
        <v>4</v>
      </c>
      <c r="J30">
        <v>0</v>
      </c>
      <c r="K30">
        <v>0</v>
      </c>
      <c r="L30">
        <v>4</v>
      </c>
      <c r="M30">
        <v>0</v>
      </c>
      <c r="N30">
        <v>971755</v>
      </c>
      <c r="O30" s="1">
        <v>41374</v>
      </c>
      <c r="P30">
        <v>60</v>
      </c>
      <c r="Q30" t="str">
        <f>"XX7302   "</f>
        <v xml:space="preserve">XX7302   </v>
      </c>
    </row>
    <row r="31" spans="1:17" x14ac:dyDescent="0.25">
      <c r="A31" t="str">
        <f t="shared" si="0"/>
        <v>19170</v>
      </c>
      <c r="B31">
        <v>974345</v>
      </c>
      <c r="C31" s="1">
        <v>41369</v>
      </c>
      <c r="D31" t="str">
        <f>"0016938600038       "</f>
        <v xml:space="preserve">0016938600038       </v>
      </c>
      <c r="E31">
        <v>14</v>
      </c>
      <c r="F31">
        <v>10</v>
      </c>
      <c r="G31" t="s">
        <v>56</v>
      </c>
      <c r="H31" t="str">
        <f>"F-SCI 19130-1597E (CS/10"</f>
        <v>F-SCI 19130-1597E (CS/10</v>
      </c>
      <c r="I31">
        <v>10</v>
      </c>
      <c r="J31">
        <v>0</v>
      </c>
      <c r="K31">
        <v>0</v>
      </c>
      <c r="L31">
        <v>10</v>
      </c>
      <c r="M31">
        <v>0</v>
      </c>
      <c r="N31">
        <v>975272</v>
      </c>
      <c r="O31" s="1">
        <v>41379</v>
      </c>
      <c r="P31">
        <v>10</v>
      </c>
      <c r="Q31" t="str">
        <f>"78F420   "</f>
        <v xml:space="preserve">78F420   </v>
      </c>
    </row>
    <row r="32" spans="1:17" x14ac:dyDescent="0.25">
      <c r="A32" t="str">
        <f t="shared" si="0"/>
        <v>19170</v>
      </c>
      <c r="B32">
        <v>981522</v>
      </c>
      <c r="C32" s="1">
        <v>41373</v>
      </c>
      <c r="D32" t="str">
        <f>"0016938600041       "</f>
        <v xml:space="preserve">0016938600041       </v>
      </c>
      <c r="E32">
        <v>14</v>
      </c>
      <c r="F32">
        <v>10</v>
      </c>
      <c r="G32" t="s">
        <v>57</v>
      </c>
      <c r="H32" t="str">
        <f>"CRS-H CHICO-X7 1-LB FIBE"</f>
        <v>CRS-H CHICO-X7 1-LB FIBE</v>
      </c>
      <c r="I32">
        <v>2</v>
      </c>
      <c r="J32">
        <v>0</v>
      </c>
      <c r="K32">
        <v>0</v>
      </c>
      <c r="L32">
        <v>2</v>
      </c>
      <c r="M32">
        <v>0</v>
      </c>
      <c r="N32">
        <v>983121</v>
      </c>
      <c r="O32" s="1">
        <v>41375</v>
      </c>
      <c r="P32">
        <v>90</v>
      </c>
      <c r="Q32" t="str">
        <f>"XX7302   "</f>
        <v xml:space="preserve">XX7302   </v>
      </c>
    </row>
    <row r="33" spans="1:17" x14ac:dyDescent="0.25">
      <c r="A33" t="str">
        <f t="shared" si="0"/>
        <v>19170</v>
      </c>
      <c r="B33">
        <v>981522</v>
      </c>
      <c r="C33" s="1">
        <v>41373</v>
      </c>
      <c r="D33" t="str">
        <f>"0016938600041       "</f>
        <v xml:space="preserve">0016938600041       </v>
      </c>
      <c r="E33">
        <v>14</v>
      </c>
      <c r="F33">
        <v>20</v>
      </c>
      <c r="G33" t="s">
        <v>53</v>
      </c>
      <c r="H33" t="str">
        <f>"C-H E29KPG INDICATING LI"</f>
        <v>C-H E29KPG INDICATING LI</v>
      </c>
      <c r="I33">
        <v>5</v>
      </c>
      <c r="J33">
        <v>0</v>
      </c>
      <c r="K33">
        <v>0</v>
      </c>
      <c r="L33">
        <v>5</v>
      </c>
      <c r="M33">
        <v>0</v>
      </c>
      <c r="N33">
        <v>983121</v>
      </c>
      <c r="O33" s="1">
        <v>16166</v>
      </c>
      <c r="P33">
        <v>80</v>
      </c>
      <c r="Q33" t="str">
        <f>"XX7302   "</f>
        <v xml:space="preserve">XX7302   </v>
      </c>
    </row>
    <row r="34" spans="1:17" x14ac:dyDescent="0.25">
      <c r="A34" t="str">
        <f t="shared" si="0"/>
        <v>19170</v>
      </c>
      <c r="B34">
        <v>982775</v>
      </c>
      <c r="C34" s="1">
        <v>41373</v>
      </c>
      <c r="D34" t="str">
        <f>"00170774            "</f>
        <v xml:space="preserve">00170774            </v>
      </c>
      <c r="E34">
        <v>14</v>
      </c>
      <c r="F34">
        <v>10</v>
      </c>
      <c r="G34" t="s">
        <v>90</v>
      </c>
      <c r="H34" t="str">
        <f>"GE CR124X100C EXTERNAL R"</f>
        <v>GE CR124X100C EXTERNAL R</v>
      </c>
      <c r="I34">
        <v>4</v>
      </c>
      <c r="J34">
        <v>0</v>
      </c>
      <c r="K34">
        <v>0</v>
      </c>
      <c r="L34">
        <v>4</v>
      </c>
      <c r="M34">
        <v>0</v>
      </c>
      <c r="N34">
        <v>983123</v>
      </c>
      <c r="O34" t="s">
        <v>25</v>
      </c>
      <c r="P34">
        <v>10</v>
      </c>
      <c r="Q34" t="str">
        <f>"XX7611   "</f>
        <v xml:space="preserve">XX7611   </v>
      </c>
    </row>
    <row r="35" spans="1:17" x14ac:dyDescent="0.25">
      <c r="A35" t="str">
        <f t="shared" si="0"/>
        <v>19170</v>
      </c>
      <c r="B35">
        <v>982775</v>
      </c>
      <c r="C35" s="1">
        <v>41373</v>
      </c>
      <c r="D35" t="str">
        <f>"00170774            "</f>
        <v xml:space="preserve">00170774            </v>
      </c>
      <c r="E35">
        <v>14</v>
      </c>
      <c r="F35">
        <v>20</v>
      </c>
      <c r="G35" t="s">
        <v>24</v>
      </c>
      <c r="H35" t="str">
        <f>"IND***GE PA005155 KIT   "</f>
        <v xml:space="preserve">IND***GE PA005155 KIT   </v>
      </c>
      <c r="I35">
        <v>15</v>
      </c>
      <c r="J35">
        <v>0</v>
      </c>
      <c r="K35">
        <v>0</v>
      </c>
      <c r="L35">
        <v>15</v>
      </c>
      <c r="M35">
        <v>0</v>
      </c>
      <c r="N35">
        <v>983111</v>
      </c>
      <c r="O35" s="1">
        <v>41381</v>
      </c>
      <c r="P35">
        <v>10</v>
      </c>
      <c r="Q35" t="str">
        <f>"78NF98   "</f>
        <v xml:space="preserve">78NF98   </v>
      </c>
    </row>
    <row r="36" spans="1:17" x14ac:dyDescent="0.25">
      <c r="A36" t="str">
        <f t="shared" si="0"/>
        <v>19170</v>
      </c>
      <c r="B36">
        <v>982999</v>
      </c>
      <c r="C36" s="1">
        <v>41373</v>
      </c>
      <c r="D36" t="str">
        <f>"00170791            "</f>
        <v xml:space="preserve">00170791            </v>
      </c>
      <c r="E36">
        <v>14</v>
      </c>
      <c r="F36">
        <v>10</v>
      </c>
      <c r="G36" t="s">
        <v>91</v>
      </c>
      <c r="H36" t="str">
        <f>"BLKBRN K675BIP INSULATIN"</f>
        <v>BLKBRN K675BIP INSULATIN</v>
      </c>
      <c r="I36">
        <v>2</v>
      </c>
      <c r="J36">
        <v>0</v>
      </c>
      <c r="K36">
        <v>0</v>
      </c>
      <c r="L36">
        <v>2</v>
      </c>
      <c r="M36">
        <v>0</v>
      </c>
      <c r="N36">
        <v>983121</v>
      </c>
      <c r="O36" s="1">
        <v>12116</v>
      </c>
      <c r="P36">
        <v>160</v>
      </c>
      <c r="Q36" t="str">
        <f>"XX7302   "</f>
        <v xml:space="preserve">XX7302   </v>
      </c>
    </row>
    <row r="37" spans="1:17" x14ac:dyDescent="0.25">
      <c r="A37" t="str">
        <f t="shared" si="0"/>
        <v>19170</v>
      </c>
      <c r="B37">
        <v>985302</v>
      </c>
      <c r="C37" s="1">
        <v>41374</v>
      </c>
      <c r="D37" t="str">
        <f>"0016938600042       "</f>
        <v xml:space="preserve">0016938600042       </v>
      </c>
      <c r="E37">
        <v>14</v>
      </c>
      <c r="F37">
        <v>30</v>
      </c>
      <c r="G37" t="s">
        <v>92</v>
      </c>
      <c r="H37" t="str">
        <f>"HUBW HBL5361I SGL RCPT N"</f>
        <v>HUBW HBL5361I SGL RCPT N</v>
      </c>
      <c r="I37">
        <v>2</v>
      </c>
      <c r="J37">
        <v>0</v>
      </c>
      <c r="K37">
        <v>0</v>
      </c>
      <c r="L37">
        <v>2</v>
      </c>
      <c r="M37">
        <v>0</v>
      </c>
      <c r="N37">
        <v>986675</v>
      </c>
      <c r="O37" t="s">
        <v>25</v>
      </c>
      <c r="P37">
        <v>50</v>
      </c>
      <c r="Q37" t="str">
        <f>"XX7302   "</f>
        <v xml:space="preserve">XX7302   </v>
      </c>
    </row>
    <row r="38" spans="1:17" x14ac:dyDescent="0.25">
      <c r="A38" t="str">
        <f t="shared" si="0"/>
        <v>19170</v>
      </c>
      <c r="B38">
        <v>985302</v>
      </c>
      <c r="C38" s="1">
        <v>41374</v>
      </c>
      <c r="D38" t="str">
        <f>"0016938600042       "</f>
        <v xml:space="preserve">0016938600042       </v>
      </c>
      <c r="E38">
        <v>14</v>
      </c>
      <c r="F38">
        <v>40</v>
      </c>
      <c r="G38" t="s">
        <v>93</v>
      </c>
      <c r="H38" t="str">
        <f>"PAND PLM2S-C MINI-MARKER"</f>
        <v>PAND PLM2S-C MINI-MARKER</v>
      </c>
      <c r="I38">
        <v>600</v>
      </c>
      <c r="J38">
        <v>0</v>
      </c>
      <c r="K38">
        <v>0</v>
      </c>
      <c r="L38">
        <v>600</v>
      </c>
      <c r="M38">
        <v>0</v>
      </c>
      <c r="N38">
        <v>986675</v>
      </c>
      <c r="O38" s="1">
        <v>12116</v>
      </c>
      <c r="P38">
        <v>10</v>
      </c>
      <c r="Q38" t="str">
        <f>"XX7302   "</f>
        <v xml:space="preserve">XX7302   </v>
      </c>
    </row>
    <row r="39" spans="1:17" x14ac:dyDescent="0.25">
      <c r="A39" t="str">
        <f t="shared" si="0"/>
        <v>19170</v>
      </c>
      <c r="B39">
        <v>985302</v>
      </c>
      <c r="C39" s="1">
        <v>41374</v>
      </c>
      <c r="D39" t="str">
        <f>"0016938600042       "</f>
        <v xml:space="preserve">0016938600042       </v>
      </c>
      <c r="E39">
        <v>14</v>
      </c>
      <c r="F39">
        <v>50</v>
      </c>
      <c r="G39" t="s">
        <v>94</v>
      </c>
      <c r="H39" t="str">
        <f>"CHDIS HMCP015E0C SERIES "</f>
        <v xml:space="preserve">CHDIS HMCP015E0C SERIES </v>
      </c>
      <c r="I39">
        <v>2</v>
      </c>
      <c r="J39">
        <v>0</v>
      </c>
      <c r="K39">
        <v>0</v>
      </c>
      <c r="L39">
        <v>2</v>
      </c>
      <c r="M39">
        <v>0</v>
      </c>
      <c r="N39">
        <v>986675</v>
      </c>
      <c r="O39" t="s">
        <v>25</v>
      </c>
      <c r="P39">
        <v>60</v>
      </c>
      <c r="Q39" t="str">
        <f>"XX7302   "</f>
        <v xml:space="preserve">XX7302   </v>
      </c>
    </row>
    <row r="40" spans="1:17" x14ac:dyDescent="0.25">
      <c r="A40" t="str">
        <f t="shared" si="0"/>
        <v>19170</v>
      </c>
      <c r="B40">
        <v>988886</v>
      </c>
      <c r="C40" s="1">
        <v>41375</v>
      </c>
      <c r="D40" t="str">
        <f>"0016938600043       "</f>
        <v xml:space="preserve">0016938600043       </v>
      </c>
      <c r="E40">
        <v>14</v>
      </c>
      <c r="F40">
        <v>10</v>
      </c>
      <c r="G40" t="s">
        <v>95</v>
      </c>
      <c r="H40" t="str">
        <f>"MSA 10061271 NASO- EARMF"</f>
        <v>MSA 10061271 NASO- EARMF</v>
      </c>
      <c r="I40">
        <v>10</v>
      </c>
      <c r="J40">
        <v>0</v>
      </c>
      <c r="K40">
        <v>0</v>
      </c>
      <c r="L40">
        <v>10</v>
      </c>
      <c r="M40">
        <v>0</v>
      </c>
      <c r="N40" t="s">
        <v>23</v>
      </c>
      <c r="O40" t="s">
        <v>25</v>
      </c>
      <c r="P40" t="s">
        <v>26</v>
      </c>
      <c r="Q40" t="str">
        <f>"         "</f>
        <v xml:space="preserve">         </v>
      </c>
    </row>
    <row r="41" spans="1:17" x14ac:dyDescent="0.25">
      <c r="A41" t="str">
        <f t="shared" si="0"/>
        <v>19170</v>
      </c>
      <c r="B41">
        <v>988886</v>
      </c>
      <c r="C41" s="1">
        <v>41375</v>
      </c>
      <c r="D41" t="str">
        <f>"0016938600043       "</f>
        <v xml:space="preserve">0016938600043       </v>
      </c>
      <c r="E41">
        <v>14</v>
      </c>
      <c r="F41">
        <v>30</v>
      </c>
      <c r="G41" t="s">
        <v>54</v>
      </c>
      <c r="H41" t="str">
        <f>"C-H E29KPR INDICATING LI"</f>
        <v>C-H E29KPR INDICATING LI</v>
      </c>
      <c r="I41">
        <v>10</v>
      </c>
      <c r="J41">
        <v>0</v>
      </c>
      <c r="K41">
        <v>0</v>
      </c>
      <c r="L41">
        <v>10</v>
      </c>
      <c r="M41">
        <v>0</v>
      </c>
      <c r="N41" t="s">
        <v>23</v>
      </c>
      <c r="O41" t="s">
        <v>25</v>
      </c>
      <c r="P41" t="s">
        <v>26</v>
      </c>
      <c r="Q41" t="str">
        <f>"         "</f>
        <v xml:space="preserve">         </v>
      </c>
    </row>
    <row r="42" spans="1:17" x14ac:dyDescent="0.25">
      <c r="A42" t="str">
        <f t="shared" si="0"/>
        <v>19170</v>
      </c>
      <c r="B42">
        <v>988886</v>
      </c>
      <c r="C42" s="1">
        <v>41375</v>
      </c>
      <c r="D42" t="str">
        <f>"0016938600043       "</f>
        <v xml:space="preserve">0016938600043       </v>
      </c>
      <c r="E42">
        <v>14</v>
      </c>
      <c r="F42">
        <v>40</v>
      </c>
      <c r="G42" t="s">
        <v>53</v>
      </c>
      <c r="H42" t="str">
        <f>"C-H E29KPG INDICATING LI"</f>
        <v>C-H E29KPG INDICATING LI</v>
      </c>
      <c r="I42">
        <v>2</v>
      </c>
      <c r="J42">
        <v>0</v>
      </c>
      <c r="K42">
        <v>0</v>
      </c>
      <c r="L42">
        <v>2</v>
      </c>
      <c r="M42">
        <v>0</v>
      </c>
      <c r="N42" t="s">
        <v>23</v>
      </c>
      <c r="O42" t="s">
        <v>25</v>
      </c>
      <c r="P42" t="s">
        <v>26</v>
      </c>
      <c r="Q42" t="str">
        <f>"         "</f>
        <v xml:space="preserve">         </v>
      </c>
    </row>
    <row r="43" spans="1:17" x14ac:dyDescent="0.25">
      <c r="A43" t="str">
        <f t="shared" si="0"/>
        <v>19170</v>
      </c>
      <c r="B43">
        <v>988886</v>
      </c>
      <c r="C43" s="1">
        <v>41375</v>
      </c>
      <c r="D43" t="str">
        <f>"0016938600043       "</f>
        <v xml:space="preserve">0016938600043       </v>
      </c>
      <c r="E43">
        <v>14</v>
      </c>
      <c r="F43">
        <v>80</v>
      </c>
      <c r="G43" t="s">
        <v>24</v>
      </c>
      <c r="H43" t="str">
        <f>"IND***9651-24 PURELL SAN"</f>
        <v>IND***9651-24 PURELL SAN</v>
      </c>
      <c r="I43">
        <v>168</v>
      </c>
      <c r="J43">
        <v>0</v>
      </c>
      <c r="K43">
        <v>0</v>
      </c>
      <c r="L43">
        <v>168</v>
      </c>
      <c r="M43">
        <v>0</v>
      </c>
      <c r="N43" t="s">
        <v>23</v>
      </c>
      <c r="O43" t="s">
        <v>25</v>
      </c>
      <c r="P43" t="s">
        <v>26</v>
      </c>
      <c r="Q43" t="str">
        <f>"         "</f>
        <v xml:space="preserve">         </v>
      </c>
    </row>
    <row r="44" spans="1:17" x14ac:dyDescent="0.25">
      <c r="A44" t="str">
        <f t="shared" ref="A44:A101" si="1">"19175"</f>
        <v>19175</v>
      </c>
      <c r="B44">
        <v>196493</v>
      </c>
      <c r="C44" s="1">
        <v>41093</v>
      </c>
      <c r="D44" t="str">
        <f>"00160885            "</f>
        <v xml:space="preserve">00160885            </v>
      </c>
      <c r="E44">
        <v>14</v>
      </c>
      <c r="F44">
        <v>160</v>
      </c>
      <c r="G44" t="s">
        <v>24</v>
      </c>
      <c r="H44" t="str">
        <f>"IND***AMREP A00442-20 IN"</f>
        <v>IND***AMREP A00442-20 IN</v>
      </c>
      <c r="I44">
        <v>12</v>
      </c>
      <c r="J44">
        <v>0</v>
      </c>
      <c r="K44">
        <v>0</v>
      </c>
      <c r="L44">
        <v>12</v>
      </c>
      <c r="M44">
        <v>0</v>
      </c>
      <c r="N44" t="s">
        <v>23</v>
      </c>
      <c r="O44" t="s">
        <v>25</v>
      </c>
      <c r="P44" t="s">
        <v>26</v>
      </c>
      <c r="Q44" t="str">
        <f>"         "</f>
        <v xml:space="preserve">         </v>
      </c>
    </row>
    <row r="45" spans="1:17" x14ac:dyDescent="0.25">
      <c r="A45" t="str">
        <f t="shared" si="1"/>
        <v>19175</v>
      </c>
      <c r="B45">
        <v>252681</v>
      </c>
      <c r="C45" s="1">
        <v>41113</v>
      </c>
      <c r="D45" t="str">
        <f>"00161498            "</f>
        <v xml:space="preserve">00161498            </v>
      </c>
      <c r="E45">
        <v>14</v>
      </c>
      <c r="F45">
        <v>40</v>
      </c>
      <c r="G45" t="s">
        <v>24</v>
      </c>
      <c r="H45" t="str">
        <f>"IND***SUPERIOR 735 VINYL"</f>
        <v>IND***SUPERIOR 735 VINYL</v>
      </c>
      <c r="I45">
        <v>840</v>
      </c>
      <c r="J45">
        <v>0</v>
      </c>
      <c r="K45">
        <v>0</v>
      </c>
      <c r="L45">
        <v>840</v>
      </c>
      <c r="M45">
        <v>0</v>
      </c>
      <c r="N45">
        <v>252682</v>
      </c>
      <c r="O45" s="1">
        <v>41134</v>
      </c>
      <c r="P45">
        <v>10</v>
      </c>
      <c r="Q45" t="str">
        <f>"78B939   "</f>
        <v xml:space="preserve">78B939   </v>
      </c>
    </row>
    <row r="46" spans="1:17" x14ac:dyDescent="0.25">
      <c r="A46" t="str">
        <f t="shared" si="1"/>
        <v>19175</v>
      </c>
      <c r="B46">
        <v>532927</v>
      </c>
      <c r="C46" s="1">
        <v>41204</v>
      </c>
      <c r="D46" t="str">
        <f>"00164890            "</f>
        <v xml:space="preserve">00164890            </v>
      </c>
      <c r="E46">
        <v>14</v>
      </c>
      <c r="F46">
        <v>20</v>
      </c>
      <c r="G46" t="s">
        <v>24</v>
      </c>
      <c r="H46" t="str">
        <f>"IND***C230 POST BLUE SZ "</f>
        <v xml:space="preserve">IND***C230 POST BLUE SZ </v>
      </c>
      <c r="I46">
        <v>24</v>
      </c>
      <c r="J46">
        <v>0</v>
      </c>
      <c r="K46">
        <v>0</v>
      </c>
      <c r="L46">
        <v>6</v>
      </c>
      <c r="M46">
        <v>18</v>
      </c>
      <c r="N46">
        <v>536904</v>
      </c>
      <c r="O46" s="1">
        <v>41243</v>
      </c>
      <c r="P46">
        <v>10</v>
      </c>
      <c r="Q46" t="str">
        <f>"78BJ59   "</f>
        <v xml:space="preserve">78BJ59   </v>
      </c>
    </row>
    <row r="47" spans="1:17" x14ac:dyDescent="0.25">
      <c r="A47" t="str">
        <f t="shared" si="1"/>
        <v>19175</v>
      </c>
      <c r="B47">
        <v>582263</v>
      </c>
      <c r="C47" s="1">
        <v>41219</v>
      </c>
      <c r="D47" t="str">
        <f>"00165481            "</f>
        <v xml:space="preserve">00165481            </v>
      </c>
      <c r="E47">
        <v>14</v>
      </c>
      <c r="F47">
        <v>60</v>
      </c>
      <c r="G47" t="s">
        <v>58</v>
      </c>
      <c r="H47" t="str">
        <f>"OZ-G PG-121-10 MTL CLAD "</f>
        <v xml:space="preserve">OZ-G PG-121-10 MTL CLAD </v>
      </c>
      <c r="I47">
        <v>20</v>
      </c>
      <c r="J47">
        <v>0</v>
      </c>
      <c r="K47">
        <v>0</v>
      </c>
      <c r="L47">
        <v>20</v>
      </c>
      <c r="M47">
        <v>0</v>
      </c>
      <c r="N47">
        <v>728920</v>
      </c>
      <c r="O47" s="1">
        <v>41374</v>
      </c>
      <c r="P47">
        <v>490</v>
      </c>
      <c r="Q47" t="str">
        <f>"XX7302   "</f>
        <v xml:space="preserve">XX7302   </v>
      </c>
    </row>
    <row r="48" spans="1:17" x14ac:dyDescent="0.25">
      <c r="A48" t="str">
        <f t="shared" si="1"/>
        <v>19175</v>
      </c>
      <c r="B48">
        <v>806362</v>
      </c>
      <c r="C48" s="1">
        <v>41311</v>
      </c>
      <c r="D48" t="str">
        <f>"00168422            "</f>
        <v xml:space="preserve">00168422            </v>
      </c>
      <c r="E48">
        <v>14</v>
      </c>
      <c r="F48">
        <v>10</v>
      </c>
      <c r="G48" t="s">
        <v>24</v>
      </c>
      <c r="H48" t="str">
        <f>"IND***SF12-BB SUREFIRE B"</f>
        <v>IND***SF12-BB SUREFIRE B</v>
      </c>
      <c r="I48">
        <v>48</v>
      </c>
      <c r="J48">
        <v>0</v>
      </c>
      <c r="K48">
        <v>0</v>
      </c>
      <c r="L48">
        <v>24</v>
      </c>
      <c r="M48">
        <v>24</v>
      </c>
      <c r="N48">
        <v>806832</v>
      </c>
      <c r="O48" s="1">
        <v>41330</v>
      </c>
      <c r="P48">
        <v>20</v>
      </c>
      <c r="Q48" t="str">
        <f>"78B939   "</f>
        <v xml:space="preserve">78B939   </v>
      </c>
    </row>
    <row r="49" spans="1:17" x14ac:dyDescent="0.25">
      <c r="A49" t="str">
        <f t="shared" si="1"/>
        <v>19175</v>
      </c>
      <c r="B49">
        <v>835411</v>
      </c>
      <c r="C49" s="1">
        <v>41320</v>
      </c>
      <c r="D49" t="str">
        <f>"00168788            "</f>
        <v xml:space="preserve">00168788            </v>
      </c>
      <c r="E49">
        <v>14</v>
      </c>
      <c r="F49">
        <v>20</v>
      </c>
      <c r="G49" t="s">
        <v>59</v>
      </c>
      <c r="H49" t="str">
        <f>"P-TEX 80038 DYE NON DRY "</f>
        <v xml:space="preserve">P-TEX 80038 DYE NON DRY </v>
      </c>
      <c r="I49">
        <v>39</v>
      </c>
      <c r="J49">
        <v>0</v>
      </c>
      <c r="K49">
        <v>0</v>
      </c>
      <c r="L49">
        <v>3</v>
      </c>
      <c r="M49">
        <v>36</v>
      </c>
      <c r="N49" t="s">
        <v>23</v>
      </c>
      <c r="O49" t="s">
        <v>25</v>
      </c>
      <c r="P49" t="s">
        <v>26</v>
      </c>
      <c r="Q49" t="str">
        <f>"         "</f>
        <v xml:space="preserve">         </v>
      </c>
    </row>
    <row r="50" spans="1:17" x14ac:dyDescent="0.25">
      <c r="A50" t="str">
        <f t="shared" si="1"/>
        <v>19175</v>
      </c>
      <c r="B50">
        <v>857546</v>
      </c>
      <c r="C50" s="1">
        <v>41330</v>
      </c>
      <c r="D50" t="str">
        <f>"00169146            "</f>
        <v xml:space="preserve">00169146            </v>
      </c>
      <c r="E50">
        <v>14</v>
      </c>
      <c r="F50">
        <v>10</v>
      </c>
      <c r="G50" t="s">
        <v>60</v>
      </c>
      <c r="H50" t="str">
        <f>"APCO BAG DUKE STK CODE 4"</f>
        <v>APCO BAG DUKE STK CODE 4</v>
      </c>
      <c r="I50">
        <v>20000</v>
      </c>
      <c r="J50">
        <v>0</v>
      </c>
      <c r="K50">
        <v>0</v>
      </c>
      <c r="L50">
        <v>20000</v>
      </c>
      <c r="M50">
        <v>0</v>
      </c>
      <c r="N50">
        <v>858297</v>
      </c>
      <c r="O50" s="1">
        <v>41414</v>
      </c>
      <c r="P50">
        <v>10</v>
      </c>
      <c r="Q50" t="str">
        <f>"78AS78   "</f>
        <v xml:space="preserve">78AS78   </v>
      </c>
    </row>
    <row r="51" spans="1:17" x14ac:dyDescent="0.25">
      <c r="A51" t="str">
        <f t="shared" si="1"/>
        <v>19175</v>
      </c>
      <c r="B51">
        <v>881084</v>
      </c>
      <c r="C51" s="1">
        <v>41337</v>
      </c>
      <c r="D51" t="str">
        <f>"00169419            "</f>
        <v xml:space="preserve">00169419            </v>
      </c>
      <c r="E51">
        <v>14</v>
      </c>
      <c r="F51">
        <v>43</v>
      </c>
      <c r="G51" t="s">
        <v>24</v>
      </c>
      <c r="H51" t="str">
        <f>"IND***HONEYWELL 1EN107R "</f>
        <v xml:space="preserve">IND***HONEYWELL 1EN107R </v>
      </c>
      <c r="I51">
        <v>1</v>
      </c>
      <c r="J51">
        <v>0</v>
      </c>
      <c r="K51">
        <v>0</v>
      </c>
      <c r="L51">
        <v>1</v>
      </c>
      <c r="M51">
        <v>0</v>
      </c>
      <c r="N51">
        <v>881202</v>
      </c>
      <c r="O51" s="1">
        <v>41447</v>
      </c>
      <c r="P51">
        <v>10</v>
      </c>
      <c r="Q51" t="str">
        <f>"78S169   "</f>
        <v xml:space="preserve">78S169   </v>
      </c>
    </row>
    <row r="52" spans="1:17" x14ac:dyDescent="0.25">
      <c r="A52" t="str">
        <f t="shared" si="1"/>
        <v>19175</v>
      </c>
      <c r="B52">
        <v>900014</v>
      </c>
      <c r="C52" s="1">
        <v>41344</v>
      </c>
      <c r="D52" t="str">
        <f>"00169658            "</f>
        <v xml:space="preserve">00169658            </v>
      </c>
      <c r="E52">
        <v>14</v>
      </c>
      <c r="F52">
        <v>34</v>
      </c>
      <c r="G52" t="s">
        <v>24</v>
      </c>
      <c r="H52" t="str">
        <f>"IND***ACC06E327P-003-B30"</f>
        <v>IND***ACC06E327P-003-B30</v>
      </c>
      <c r="I52">
        <v>3</v>
      </c>
      <c r="J52">
        <v>0</v>
      </c>
      <c r="K52">
        <v>0</v>
      </c>
      <c r="L52">
        <v>3</v>
      </c>
      <c r="M52">
        <v>0</v>
      </c>
      <c r="N52">
        <v>900102</v>
      </c>
      <c r="O52" s="1">
        <v>41464</v>
      </c>
      <c r="P52">
        <v>40</v>
      </c>
      <c r="Q52" t="str">
        <f>"78N147   "</f>
        <v xml:space="preserve">78N147   </v>
      </c>
    </row>
    <row r="53" spans="1:17" x14ac:dyDescent="0.25">
      <c r="A53" t="str">
        <f t="shared" si="1"/>
        <v>19175</v>
      </c>
      <c r="B53">
        <v>918849</v>
      </c>
      <c r="C53" s="1">
        <v>41351</v>
      </c>
      <c r="D53" t="str">
        <f>"0016938600020       "</f>
        <v xml:space="preserve">0016938600020       </v>
      </c>
      <c r="E53">
        <v>14</v>
      </c>
      <c r="F53">
        <v>10</v>
      </c>
      <c r="G53" t="s">
        <v>61</v>
      </c>
      <c r="H53" t="str">
        <f>"IND***S339 LAMP EXTRACTO"</f>
        <v>IND***S339 LAMP EXTRACTO</v>
      </c>
      <c r="I53">
        <v>3</v>
      </c>
      <c r="J53">
        <v>0</v>
      </c>
      <c r="K53">
        <v>0</v>
      </c>
      <c r="L53">
        <v>3</v>
      </c>
      <c r="M53">
        <v>0</v>
      </c>
      <c r="N53">
        <v>919932</v>
      </c>
      <c r="O53" s="1">
        <v>41362</v>
      </c>
      <c r="P53">
        <v>10</v>
      </c>
      <c r="Q53" t="str">
        <f>"78J798   "</f>
        <v xml:space="preserve">78J798   </v>
      </c>
    </row>
    <row r="54" spans="1:17" x14ac:dyDescent="0.25">
      <c r="A54" t="str">
        <f t="shared" si="1"/>
        <v>19175</v>
      </c>
      <c r="B54">
        <v>918925</v>
      </c>
      <c r="C54" s="1">
        <v>41351</v>
      </c>
      <c r="D54" t="str">
        <f>"00169918            "</f>
        <v xml:space="preserve">00169918            </v>
      </c>
      <c r="E54">
        <v>14</v>
      </c>
      <c r="F54">
        <v>89</v>
      </c>
      <c r="G54" t="s">
        <v>24</v>
      </c>
      <c r="H54" t="str">
        <f>"IND***TOSHIBA P1930A LCD"</f>
        <v>IND***TOSHIBA P1930A LCD</v>
      </c>
      <c r="I54">
        <v>1</v>
      </c>
      <c r="J54">
        <v>0</v>
      </c>
      <c r="K54">
        <v>0</v>
      </c>
      <c r="L54">
        <v>1</v>
      </c>
      <c r="M54">
        <v>0</v>
      </c>
      <c r="N54">
        <v>919931</v>
      </c>
      <c r="O54" s="1">
        <v>41359</v>
      </c>
      <c r="P54">
        <v>10</v>
      </c>
      <c r="Q54" t="str">
        <f>"78ID29   "</f>
        <v xml:space="preserve">78ID29   </v>
      </c>
    </row>
    <row r="55" spans="1:17" x14ac:dyDescent="0.25">
      <c r="A55" t="str">
        <f t="shared" si="1"/>
        <v>19175</v>
      </c>
      <c r="B55">
        <v>931408</v>
      </c>
      <c r="C55" s="1">
        <v>41354</v>
      </c>
      <c r="D55" t="str">
        <f>"00170115            "</f>
        <v xml:space="preserve">00170115            </v>
      </c>
      <c r="E55">
        <v>14</v>
      </c>
      <c r="F55">
        <v>34</v>
      </c>
      <c r="G55" t="s">
        <v>62</v>
      </c>
      <c r="H55" t="str">
        <f>"TRLT PDUMH20AT PWR STRIP"</f>
        <v>TRLT PDUMH20AT PWR STRIP</v>
      </c>
      <c r="I55">
        <v>3</v>
      </c>
      <c r="J55">
        <v>0</v>
      </c>
      <c r="K55">
        <v>0</v>
      </c>
      <c r="L55">
        <v>3</v>
      </c>
      <c r="M55">
        <v>0</v>
      </c>
      <c r="N55">
        <v>931432</v>
      </c>
      <c r="O55" s="1">
        <v>41383</v>
      </c>
      <c r="P55">
        <v>10</v>
      </c>
      <c r="Q55" t="str">
        <f>"78A160   "</f>
        <v xml:space="preserve">78A160   </v>
      </c>
    </row>
    <row r="56" spans="1:17" x14ac:dyDescent="0.25">
      <c r="A56" t="str">
        <f t="shared" si="1"/>
        <v>19175</v>
      </c>
      <c r="B56">
        <v>934811</v>
      </c>
      <c r="C56" s="1">
        <v>41355</v>
      </c>
      <c r="D56" t="str">
        <f>"00170150            "</f>
        <v xml:space="preserve">00170150            </v>
      </c>
      <c r="E56">
        <v>14</v>
      </c>
      <c r="F56">
        <v>25</v>
      </c>
      <c r="G56" t="s">
        <v>24</v>
      </c>
      <c r="H56" t="str">
        <f>"IND***COMMSCOPE CPCC412-"</f>
        <v>IND***COMMSCOPE CPCC412-</v>
      </c>
      <c r="I56">
        <v>8</v>
      </c>
      <c r="J56">
        <v>0</v>
      </c>
      <c r="K56">
        <v>0</v>
      </c>
      <c r="L56">
        <v>8</v>
      </c>
      <c r="M56">
        <v>0</v>
      </c>
      <c r="N56">
        <v>935103</v>
      </c>
      <c r="O56" s="1">
        <v>41369</v>
      </c>
      <c r="P56">
        <v>10</v>
      </c>
      <c r="Q56" t="str">
        <f>"78CF14   "</f>
        <v xml:space="preserve">78CF14   </v>
      </c>
    </row>
    <row r="57" spans="1:17" x14ac:dyDescent="0.25">
      <c r="A57" t="str">
        <f t="shared" si="1"/>
        <v>19175</v>
      </c>
      <c r="B57">
        <v>941823</v>
      </c>
      <c r="C57" s="1">
        <v>41359</v>
      </c>
      <c r="D57" t="str">
        <f>"0016938600028       "</f>
        <v xml:space="preserve">0016938600028       </v>
      </c>
      <c r="E57">
        <v>14</v>
      </c>
      <c r="F57">
        <v>30</v>
      </c>
      <c r="G57" t="s">
        <v>63</v>
      </c>
      <c r="H57" t="str">
        <f>"CPTC 20RNT-RED-100 TUBIN"</f>
        <v>CPTC 20RNT-RED-100 TUBIN</v>
      </c>
      <c r="I57">
        <v>2000</v>
      </c>
      <c r="J57">
        <v>0</v>
      </c>
      <c r="K57">
        <v>0</v>
      </c>
      <c r="L57">
        <v>2000</v>
      </c>
      <c r="M57">
        <v>0</v>
      </c>
      <c r="N57">
        <v>942250</v>
      </c>
      <c r="O57" s="1">
        <v>41396</v>
      </c>
      <c r="P57">
        <v>10</v>
      </c>
      <c r="Q57" t="str">
        <f>"78CS03   "</f>
        <v xml:space="preserve">78CS03   </v>
      </c>
    </row>
    <row r="58" spans="1:17" x14ac:dyDescent="0.25">
      <c r="A58" t="str">
        <f t="shared" si="1"/>
        <v>19175</v>
      </c>
      <c r="B58">
        <v>946665</v>
      </c>
      <c r="C58" s="1">
        <v>41360</v>
      </c>
      <c r="D58" t="str">
        <f>"00170351            "</f>
        <v xml:space="preserve">00170351            </v>
      </c>
      <c r="E58">
        <v>14</v>
      </c>
      <c r="F58">
        <v>30</v>
      </c>
      <c r="G58" t="s">
        <v>24</v>
      </c>
      <c r="H58" t="str">
        <f>"IND***NAMCO EA17031100 S"</f>
        <v>IND***NAMCO EA17031100 S</v>
      </c>
      <c r="I58">
        <v>3</v>
      </c>
      <c r="J58">
        <v>0</v>
      </c>
      <c r="K58">
        <v>0</v>
      </c>
      <c r="L58">
        <v>3</v>
      </c>
      <c r="M58">
        <v>0</v>
      </c>
      <c r="N58">
        <v>950094</v>
      </c>
      <c r="O58" s="1">
        <v>41383</v>
      </c>
      <c r="P58">
        <v>10</v>
      </c>
      <c r="Q58" t="str">
        <f>"78N076   "</f>
        <v xml:space="preserve">78N076   </v>
      </c>
    </row>
    <row r="59" spans="1:17" x14ac:dyDescent="0.25">
      <c r="A59" t="str">
        <f t="shared" si="1"/>
        <v>19175</v>
      </c>
      <c r="B59">
        <v>947127</v>
      </c>
      <c r="C59" s="1">
        <v>41360</v>
      </c>
      <c r="D59" t="str">
        <f>"0016938600029       "</f>
        <v xml:space="preserve">0016938600029       </v>
      </c>
      <c r="E59">
        <v>14</v>
      </c>
      <c r="F59">
        <v>20</v>
      </c>
      <c r="G59" t="s">
        <v>63</v>
      </c>
      <c r="H59" t="str">
        <f>"CPTC 20RNT-RED-100 TUBIN"</f>
        <v>CPTC 20RNT-RED-100 TUBIN</v>
      </c>
      <c r="I59">
        <v>2000</v>
      </c>
      <c r="J59">
        <v>0</v>
      </c>
      <c r="K59">
        <v>0</v>
      </c>
      <c r="L59">
        <v>2000</v>
      </c>
      <c r="M59">
        <v>0</v>
      </c>
      <c r="N59">
        <v>950084</v>
      </c>
      <c r="O59" s="1">
        <v>41388</v>
      </c>
      <c r="P59">
        <v>10</v>
      </c>
      <c r="Q59" t="str">
        <f>"78CS03   "</f>
        <v xml:space="preserve">78CS03   </v>
      </c>
    </row>
    <row r="60" spans="1:17" x14ac:dyDescent="0.25">
      <c r="A60" t="str">
        <f t="shared" si="1"/>
        <v>19175</v>
      </c>
      <c r="B60">
        <v>947127</v>
      </c>
      <c r="C60" s="1">
        <v>41360</v>
      </c>
      <c r="D60" t="str">
        <f>"0016938600029       "</f>
        <v xml:space="preserve">0016938600029       </v>
      </c>
      <c r="E60">
        <v>14</v>
      </c>
      <c r="F60">
        <v>50</v>
      </c>
      <c r="G60" t="s">
        <v>64</v>
      </c>
      <c r="H60" t="str">
        <f>"PYR S4110SN MINI INTRUDE"</f>
        <v>PYR S4110SN MINI INTRUDE</v>
      </c>
      <c r="I60">
        <v>24</v>
      </c>
      <c r="J60">
        <v>0</v>
      </c>
      <c r="K60">
        <v>0</v>
      </c>
      <c r="L60">
        <v>24</v>
      </c>
      <c r="M60">
        <v>0</v>
      </c>
      <c r="N60">
        <v>967910</v>
      </c>
      <c r="O60" s="1">
        <v>41380</v>
      </c>
      <c r="P60">
        <v>40</v>
      </c>
      <c r="Q60" t="str">
        <f>"78PI17   "</f>
        <v xml:space="preserve">78PI17   </v>
      </c>
    </row>
    <row r="61" spans="1:17" x14ac:dyDescent="0.25">
      <c r="A61" t="str">
        <f t="shared" si="1"/>
        <v>19175</v>
      </c>
      <c r="B61">
        <v>949539</v>
      </c>
      <c r="C61" s="1">
        <v>41361</v>
      </c>
      <c r="D61" t="str">
        <f>"00170390            "</f>
        <v xml:space="preserve">00170390            </v>
      </c>
      <c r="E61">
        <v>14</v>
      </c>
      <c r="F61">
        <v>37</v>
      </c>
      <c r="G61" t="s">
        <v>24</v>
      </c>
      <c r="H61" t="str">
        <f>"IND***EA170-21100 NAMCO "</f>
        <v xml:space="preserve">IND***EA170-21100 NAMCO </v>
      </c>
      <c r="I61">
        <v>2</v>
      </c>
      <c r="J61">
        <v>0</v>
      </c>
      <c r="K61">
        <v>0</v>
      </c>
      <c r="L61">
        <v>2</v>
      </c>
      <c r="M61">
        <v>0</v>
      </c>
      <c r="N61">
        <v>950072</v>
      </c>
      <c r="O61" s="1">
        <v>41383</v>
      </c>
      <c r="P61">
        <v>10</v>
      </c>
      <c r="Q61" t="str">
        <f>"782067   "</f>
        <v xml:space="preserve">782067   </v>
      </c>
    </row>
    <row r="62" spans="1:17" x14ac:dyDescent="0.25">
      <c r="A62" t="str">
        <f t="shared" si="1"/>
        <v>19175</v>
      </c>
      <c r="B62">
        <v>952654</v>
      </c>
      <c r="C62" s="1">
        <v>41362</v>
      </c>
      <c r="D62" t="str">
        <f>"00170417            "</f>
        <v xml:space="preserve">00170417            </v>
      </c>
      <c r="E62">
        <v>14</v>
      </c>
      <c r="F62">
        <v>10</v>
      </c>
      <c r="G62" t="s">
        <v>24</v>
      </c>
      <c r="H62" t="str">
        <f>"IND***68175-1005 AMPHENO"</f>
        <v>IND***68175-1005 AMPHENO</v>
      </c>
      <c r="I62">
        <v>150</v>
      </c>
      <c r="J62">
        <v>0</v>
      </c>
      <c r="K62">
        <v>0</v>
      </c>
      <c r="L62">
        <v>73</v>
      </c>
      <c r="M62">
        <v>77</v>
      </c>
      <c r="N62">
        <v>953521</v>
      </c>
      <c r="O62" t="s">
        <v>25</v>
      </c>
      <c r="P62">
        <v>130</v>
      </c>
      <c r="Q62" t="str">
        <f>"78A160   "</f>
        <v xml:space="preserve">78A160   </v>
      </c>
    </row>
    <row r="63" spans="1:17" x14ac:dyDescent="0.25">
      <c r="A63" t="str">
        <f t="shared" si="1"/>
        <v>19175</v>
      </c>
      <c r="B63">
        <v>953251</v>
      </c>
      <c r="C63" s="1">
        <v>41362</v>
      </c>
      <c r="D63" t="str">
        <f>"00170430            "</f>
        <v xml:space="preserve">00170430            </v>
      </c>
      <c r="E63">
        <v>14</v>
      </c>
      <c r="F63">
        <v>10</v>
      </c>
      <c r="G63" t="s">
        <v>24</v>
      </c>
      <c r="H63" t="str">
        <f>"IND***0958-401 REPLACEME"</f>
        <v>IND***0958-401 REPLACEME</v>
      </c>
      <c r="I63">
        <v>108</v>
      </c>
      <c r="J63">
        <v>0</v>
      </c>
      <c r="K63">
        <v>0</v>
      </c>
      <c r="L63">
        <v>108</v>
      </c>
      <c r="M63">
        <v>0</v>
      </c>
      <c r="N63" t="s">
        <v>23</v>
      </c>
      <c r="O63" t="s">
        <v>25</v>
      </c>
      <c r="P63" t="s">
        <v>26</v>
      </c>
      <c r="Q63" t="str">
        <f>"         "</f>
        <v xml:space="preserve">         </v>
      </c>
    </row>
    <row r="64" spans="1:17" x14ac:dyDescent="0.25">
      <c r="A64" t="str">
        <f t="shared" si="1"/>
        <v>19175</v>
      </c>
      <c r="B64">
        <v>959520</v>
      </c>
      <c r="C64" s="1">
        <v>41365</v>
      </c>
      <c r="D64" t="str">
        <f>"0016938600032       "</f>
        <v xml:space="preserve">0016938600032       </v>
      </c>
      <c r="E64">
        <v>14</v>
      </c>
      <c r="F64">
        <v>10</v>
      </c>
      <c r="G64" t="s">
        <v>24</v>
      </c>
      <c r="H64" t="str">
        <f>"IND***FRH550-L HEAD BAND"</f>
        <v>IND***FRH550-L HEAD BAND</v>
      </c>
      <c r="I64">
        <v>500</v>
      </c>
      <c r="J64">
        <v>0</v>
      </c>
      <c r="K64">
        <v>0</v>
      </c>
      <c r="L64">
        <v>500</v>
      </c>
      <c r="M64">
        <v>0</v>
      </c>
      <c r="N64">
        <v>960210</v>
      </c>
      <c r="O64" s="1">
        <v>41376</v>
      </c>
      <c r="P64">
        <v>10</v>
      </c>
      <c r="Q64" t="str">
        <f>"78F983   "</f>
        <v xml:space="preserve">78F983   </v>
      </c>
    </row>
    <row r="65" spans="1:17" x14ac:dyDescent="0.25">
      <c r="A65" t="str">
        <f t="shared" si="1"/>
        <v>19175</v>
      </c>
      <c r="B65">
        <v>959520</v>
      </c>
      <c r="C65" s="1">
        <v>41365</v>
      </c>
      <c r="D65" t="str">
        <f>"0016938600032       "</f>
        <v xml:space="preserve">0016938600032       </v>
      </c>
      <c r="E65">
        <v>14</v>
      </c>
      <c r="F65">
        <v>40</v>
      </c>
      <c r="G65" t="s">
        <v>65</v>
      </c>
      <c r="H65" t="str">
        <f>"UNISTR P1068GR 2H 90D CO"</f>
        <v>UNISTR P1068GR 2H 90D CO</v>
      </c>
      <c r="I65">
        <v>8</v>
      </c>
      <c r="J65">
        <v>0</v>
      </c>
      <c r="K65">
        <v>0</v>
      </c>
      <c r="L65">
        <v>8</v>
      </c>
      <c r="M65">
        <v>0</v>
      </c>
      <c r="N65">
        <v>960202</v>
      </c>
      <c r="O65" s="1">
        <v>41373</v>
      </c>
      <c r="P65">
        <v>10</v>
      </c>
      <c r="Q65" t="str">
        <f>"786364   "</f>
        <v xml:space="preserve">786364   </v>
      </c>
    </row>
    <row r="66" spans="1:17" x14ac:dyDescent="0.25">
      <c r="A66" t="str">
        <f t="shared" si="1"/>
        <v>19175</v>
      </c>
      <c r="B66">
        <v>964450</v>
      </c>
      <c r="C66" s="1">
        <v>41366</v>
      </c>
      <c r="D66" t="str">
        <f>"00170548            "</f>
        <v xml:space="preserve">00170548            </v>
      </c>
      <c r="E66">
        <v>14</v>
      </c>
      <c r="F66">
        <v>20</v>
      </c>
      <c r="G66" t="s">
        <v>24</v>
      </c>
      <c r="H66" t="str">
        <f>"IND***SG7910D15 1.50 MAG"</f>
        <v>IND***SG7910D15 1.50 MAG</v>
      </c>
      <c r="I66">
        <v>6</v>
      </c>
      <c r="J66">
        <v>0</v>
      </c>
      <c r="K66">
        <v>0</v>
      </c>
      <c r="L66">
        <v>6</v>
      </c>
      <c r="M66">
        <v>0</v>
      </c>
      <c r="N66">
        <v>967910</v>
      </c>
      <c r="O66" s="1">
        <v>41380</v>
      </c>
      <c r="P66">
        <v>10</v>
      </c>
      <c r="Q66" t="str">
        <f>"78PI17   "</f>
        <v xml:space="preserve">78PI17   </v>
      </c>
    </row>
    <row r="67" spans="1:17" x14ac:dyDescent="0.25">
      <c r="A67" t="str">
        <f t="shared" si="1"/>
        <v>19175</v>
      </c>
      <c r="B67">
        <v>964450</v>
      </c>
      <c r="C67" s="1">
        <v>41366</v>
      </c>
      <c r="D67" t="str">
        <f>"00170548            "</f>
        <v xml:space="preserve">00170548            </v>
      </c>
      <c r="E67">
        <v>14</v>
      </c>
      <c r="F67">
        <v>30</v>
      </c>
      <c r="G67" t="s">
        <v>24</v>
      </c>
      <c r="H67" t="str">
        <f>"IND***SG7910D20 2.0 MAG "</f>
        <v xml:space="preserve">IND***SG7910D20 2.0 MAG </v>
      </c>
      <c r="I67">
        <v>6</v>
      </c>
      <c r="J67">
        <v>0</v>
      </c>
      <c r="K67">
        <v>0</v>
      </c>
      <c r="L67">
        <v>6</v>
      </c>
      <c r="M67">
        <v>0</v>
      </c>
      <c r="N67">
        <v>967910</v>
      </c>
      <c r="O67" s="1">
        <v>41380</v>
      </c>
      <c r="P67">
        <v>20</v>
      </c>
      <c r="Q67" t="str">
        <f>"78PI17   "</f>
        <v xml:space="preserve">78PI17   </v>
      </c>
    </row>
    <row r="68" spans="1:17" x14ac:dyDescent="0.25">
      <c r="A68" t="str">
        <f t="shared" si="1"/>
        <v>19175</v>
      </c>
      <c r="B68">
        <v>967089</v>
      </c>
      <c r="C68" s="1">
        <v>41367</v>
      </c>
      <c r="D68" t="str">
        <f>"0016938600036       "</f>
        <v xml:space="preserve">0016938600036       </v>
      </c>
      <c r="E68">
        <v>14</v>
      </c>
      <c r="F68">
        <v>10</v>
      </c>
      <c r="G68" t="s">
        <v>24</v>
      </c>
      <c r="H68" t="str">
        <f>"IND***SQN/LH7 EMERGENCY "</f>
        <v xml:space="preserve">IND***SQN/LH7 EMERGENCY </v>
      </c>
      <c r="I68">
        <v>3</v>
      </c>
      <c r="J68">
        <v>0</v>
      </c>
      <c r="K68">
        <v>0</v>
      </c>
      <c r="L68">
        <v>3</v>
      </c>
      <c r="M68">
        <v>0</v>
      </c>
      <c r="N68">
        <v>967890</v>
      </c>
      <c r="O68" t="s">
        <v>25</v>
      </c>
      <c r="P68">
        <v>10</v>
      </c>
      <c r="Q68" t="str">
        <f>"784170   "</f>
        <v xml:space="preserve">784170   </v>
      </c>
    </row>
    <row r="69" spans="1:17" x14ac:dyDescent="0.25">
      <c r="A69" t="str">
        <f t="shared" si="1"/>
        <v>19175</v>
      </c>
      <c r="B69">
        <v>967089</v>
      </c>
      <c r="C69" s="1">
        <v>41367</v>
      </c>
      <c r="D69" t="str">
        <f>"0016938600036       "</f>
        <v xml:space="preserve">0016938600036       </v>
      </c>
      <c r="E69">
        <v>14</v>
      </c>
      <c r="F69">
        <v>20</v>
      </c>
      <c r="G69" t="s">
        <v>24</v>
      </c>
      <c r="H69" t="str">
        <f>"IND***LANCS LI-421-050 F"</f>
        <v>IND***LANCS LI-421-050 F</v>
      </c>
      <c r="I69">
        <v>100</v>
      </c>
      <c r="J69">
        <v>0</v>
      </c>
      <c r="K69">
        <v>0</v>
      </c>
      <c r="L69">
        <v>100</v>
      </c>
      <c r="M69">
        <v>0</v>
      </c>
      <c r="N69">
        <v>967905</v>
      </c>
      <c r="O69" t="s">
        <v>25</v>
      </c>
      <c r="P69">
        <v>10</v>
      </c>
      <c r="Q69" t="str">
        <f>"78LE04   "</f>
        <v xml:space="preserve">78LE04   </v>
      </c>
    </row>
    <row r="70" spans="1:17" x14ac:dyDescent="0.25">
      <c r="A70" t="str">
        <f t="shared" si="1"/>
        <v>19175</v>
      </c>
      <c r="B70">
        <v>967089</v>
      </c>
      <c r="C70" s="1">
        <v>41367</v>
      </c>
      <c r="D70" t="str">
        <f>"0016938600036       "</f>
        <v xml:space="preserve">0016938600036       </v>
      </c>
      <c r="E70">
        <v>14</v>
      </c>
      <c r="F70">
        <v>30</v>
      </c>
      <c r="G70" t="s">
        <v>24</v>
      </c>
      <c r="H70" t="str">
        <f>"IND***00112 LOCTITE O-RI"</f>
        <v>IND***00112 LOCTITE O-RI</v>
      </c>
      <c r="I70">
        <v>4</v>
      </c>
      <c r="J70">
        <v>0</v>
      </c>
      <c r="K70">
        <v>0</v>
      </c>
      <c r="L70">
        <v>4</v>
      </c>
      <c r="M70">
        <v>0</v>
      </c>
      <c r="N70">
        <v>967895</v>
      </c>
      <c r="O70" s="1">
        <v>41374</v>
      </c>
      <c r="P70">
        <v>10</v>
      </c>
      <c r="Q70" t="str">
        <f>"78B939   "</f>
        <v xml:space="preserve">78B939   </v>
      </c>
    </row>
    <row r="71" spans="1:17" x14ac:dyDescent="0.25">
      <c r="A71" t="str">
        <f t="shared" si="1"/>
        <v>19175</v>
      </c>
      <c r="B71">
        <v>967760</v>
      </c>
      <c r="C71" s="1">
        <v>41367</v>
      </c>
      <c r="D71" t="str">
        <f>"00170592            "</f>
        <v xml:space="preserve">00170592            </v>
      </c>
      <c r="E71">
        <v>14</v>
      </c>
      <c r="F71">
        <v>10</v>
      </c>
      <c r="G71" t="s">
        <v>66</v>
      </c>
      <c r="H71" t="str">
        <f>"CHDIS HMA3600 N-FRAME MO"</f>
        <v>CHDIS HMA3600 N-FRAME MO</v>
      </c>
      <c r="I71">
        <v>1</v>
      </c>
      <c r="J71">
        <v>0</v>
      </c>
      <c r="K71">
        <v>0</v>
      </c>
      <c r="L71">
        <v>1</v>
      </c>
      <c r="M71">
        <v>0</v>
      </c>
      <c r="N71">
        <v>967888</v>
      </c>
      <c r="O71" s="1">
        <v>41409</v>
      </c>
      <c r="P71">
        <v>10</v>
      </c>
      <c r="Q71" t="str">
        <f>"782113   "</f>
        <v xml:space="preserve">782113   </v>
      </c>
    </row>
    <row r="72" spans="1:17" x14ac:dyDescent="0.25">
      <c r="A72" t="str">
        <f t="shared" si="1"/>
        <v>19175</v>
      </c>
      <c r="B72">
        <v>967760</v>
      </c>
      <c r="C72" s="1">
        <v>41367</v>
      </c>
      <c r="D72" t="str">
        <f>"00170592            "</f>
        <v xml:space="preserve">00170592            </v>
      </c>
      <c r="E72">
        <v>14</v>
      </c>
      <c r="F72">
        <v>30</v>
      </c>
      <c r="G72" t="s">
        <v>67</v>
      </c>
      <c r="H72" t="str">
        <f>"UNISTR P4280EG END CAP F"</f>
        <v>UNISTR P4280EG END CAP F</v>
      </c>
      <c r="I72">
        <v>20</v>
      </c>
      <c r="J72">
        <v>0</v>
      </c>
      <c r="K72">
        <v>0</v>
      </c>
      <c r="L72">
        <v>20</v>
      </c>
      <c r="M72">
        <v>0</v>
      </c>
      <c r="N72">
        <v>967892</v>
      </c>
      <c r="O72" t="s">
        <v>25</v>
      </c>
      <c r="P72">
        <v>80</v>
      </c>
      <c r="Q72" t="str">
        <f>"786364   "</f>
        <v xml:space="preserve">786364   </v>
      </c>
    </row>
    <row r="73" spans="1:17" x14ac:dyDescent="0.25">
      <c r="A73" t="str">
        <f t="shared" si="1"/>
        <v>19175</v>
      </c>
      <c r="B73">
        <v>967760</v>
      </c>
      <c r="C73" s="1">
        <v>41367</v>
      </c>
      <c r="D73" t="str">
        <f>"00170592            "</f>
        <v xml:space="preserve">00170592            </v>
      </c>
      <c r="E73">
        <v>14</v>
      </c>
      <c r="F73">
        <v>40</v>
      </c>
      <c r="G73" t="s">
        <v>24</v>
      </c>
      <c r="H73" t="str">
        <f>"IND***20824TS A21 MED.KI"</f>
        <v>IND***20824TS A21 MED.KI</v>
      </c>
      <c r="I73">
        <v>120</v>
      </c>
      <c r="J73">
        <v>0</v>
      </c>
      <c r="K73">
        <v>0</v>
      </c>
      <c r="L73">
        <v>120</v>
      </c>
      <c r="M73">
        <v>0</v>
      </c>
      <c r="N73">
        <v>967901</v>
      </c>
      <c r="O73" s="1">
        <v>41383</v>
      </c>
      <c r="P73">
        <v>10</v>
      </c>
      <c r="Q73" t="str">
        <f>"78D384   "</f>
        <v xml:space="preserve">78D384   </v>
      </c>
    </row>
    <row r="74" spans="1:17" x14ac:dyDescent="0.25">
      <c r="A74" t="str">
        <f t="shared" si="1"/>
        <v>19175</v>
      </c>
      <c r="B74">
        <v>971424</v>
      </c>
      <c r="C74" s="1">
        <v>41368</v>
      </c>
      <c r="D74" t="str">
        <f>"ERIK SAMPLE         "</f>
        <v xml:space="preserve">ERIK SAMPLE         </v>
      </c>
      <c r="E74">
        <v>14</v>
      </c>
      <c r="F74">
        <v>10</v>
      </c>
      <c r="G74" t="s">
        <v>68</v>
      </c>
      <c r="H74" t="str">
        <f>"EV-REDY V2202ACS ZAP LIG"</f>
        <v>EV-REDY V2202ACS ZAP LIG</v>
      </c>
      <c r="I74">
        <v>12</v>
      </c>
      <c r="J74">
        <v>0</v>
      </c>
      <c r="K74">
        <v>0</v>
      </c>
      <c r="L74">
        <v>12</v>
      </c>
      <c r="M74">
        <v>0</v>
      </c>
      <c r="N74">
        <v>971755</v>
      </c>
      <c r="O74" s="1">
        <v>16166</v>
      </c>
      <c r="P74">
        <v>10</v>
      </c>
      <c r="Q74" t="str">
        <f>"XX7302   "</f>
        <v xml:space="preserve">XX7302   </v>
      </c>
    </row>
    <row r="75" spans="1:17" x14ac:dyDescent="0.25">
      <c r="A75" t="str">
        <f t="shared" si="1"/>
        <v>19175</v>
      </c>
      <c r="B75">
        <v>971449</v>
      </c>
      <c r="C75" s="1">
        <v>41368</v>
      </c>
      <c r="D75" t="str">
        <f>"00170630            "</f>
        <v xml:space="preserve">00170630            </v>
      </c>
      <c r="E75">
        <v>14</v>
      </c>
      <c r="F75">
        <v>90</v>
      </c>
      <c r="G75" t="s">
        <v>24</v>
      </c>
      <c r="H75" t="str">
        <f>"IND***410A-1-3-22-01-01 "</f>
        <v xml:space="preserve">IND***410A-1-3-22-01-01 </v>
      </c>
      <c r="I75">
        <v>2</v>
      </c>
      <c r="J75">
        <v>0</v>
      </c>
      <c r="K75">
        <v>0</v>
      </c>
      <c r="L75">
        <v>2</v>
      </c>
      <c r="M75">
        <v>0</v>
      </c>
      <c r="N75">
        <v>971744</v>
      </c>
      <c r="O75" t="s">
        <v>25</v>
      </c>
      <c r="P75">
        <v>10</v>
      </c>
      <c r="Q75" t="str">
        <f>"78PG14   "</f>
        <v xml:space="preserve">78PG14   </v>
      </c>
    </row>
    <row r="76" spans="1:17" x14ac:dyDescent="0.25">
      <c r="A76" t="str">
        <f t="shared" si="1"/>
        <v>19175</v>
      </c>
      <c r="B76">
        <v>971449</v>
      </c>
      <c r="C76" s="1">
        <v>41368</v>
      </c>
      <c r="D76" t="str">
        <f>"00170630            "</f>
        <v xml:space="preserve">00170630            </v>
      </c>
      <c r="E76">
        <v>14</v>
      </c>
      <c r="F76">
        <v>108</v>
      </c>
      <c r="G76" t="s">
        <v>24</v>
      </c>
      <c r="H76" t="str">
        <f>"IND***60009 LAMPLIGHT FA"</f>
        <v>IND***60009 LAMPLIGHT FA</v>
      </c>
      <c r="I76">
        <v>12</v>
      </c>
      <c r="J76">
        <v>0</v>
      </c>
      <c r="K76">
        <v>0</v>
      </c>
      <c r="L76">
        <v>12</v>
      </c>
      <c r="M76">
        <v>0</v>
      </c>
      <c r="N76">
        <v>971739</v>
      </c>
      <c r="O76" t="s">
        <v>25</v>
      </c>
      <c r="P76">
        <v>110</v>
      </c>
      <c r="Q76" t="str">
        <f>"78ID29   "</f>
        <v xml:space="preserve">78ID29   </v>
      </c>
    </row>
    <row r="77" spans="1:17" x14ac:dyDescent="0.25">
      <c r="A77" t="str">
        <f t="shared" si="1"/>
        <v>19175</v>
      </c>
      <c r="B77">
        <v>975439</v>
      </c>
      <c r="C77" s="1">
        <v>41369</v>
      </c>
      <c r="D77" t="str">
        <f>"00170683            "</f>
        <v xml:space="preserve">00170683            </v>
      </c>
      <c r="E77">
        <v>14</v>
      </c>
      <c r="F77">
        <v>10</v>
      </c>
      <c r="G77" t="s">
        <v>69</v>
      </c>
      <c r="H77" t="str">
        <f>"PELICN 2690 (3) AAA CELL"</f>
        <v>PELICN 2690 (3) AAA CELL</v>
      </c>
      <c r="I77">
        <v>12</v>
      </c>
      <c r="J77">
        <v>0</v>
      </c>
      <c r="K77">
        <v>0</v>
      </c>
      <c r="L77">
        <v>12</v>
      </c>
      <c r="M77">
        <v>0</v>
      </c>
      <c r="N77">
        <v>978837</v>
      </c>
      <c r="O77" t="s">
        <v>25</v>
      </c>
      <c r="P77">
        <v>10</v>
      </c>
      <c r="Q77" t="str">
        <f>"78CT98   "</f>
        <v xml:space="preserve">78CT98   </v>
      </c>
    </row>
    <row r="78" spans="1:17" x14ac:dyDescent="0.25">
      <c r="A78" t="str">
        <f t="shared" si="1"/>
        <v>19175</v>
      </c>
      <c r="B78">
        <v>978176</v>
      </c>
      <c r="C78" s="1">
        <v>41372</v>
      </c>
      <c r="D78" t="str">
        <f t="shared" ref="D78:D85" si="2">"00170701            "</f>
        <v xml:space="preserve">00170701            </v>
      </c>
      <c r="E78">
        <v>14</v>
      </c>
      <c r="F78">
        <v>20</v>
      </c>
      <c r="G78" t="s">
        <v>70</v>
      </c>
      <c r="H78" t="str">
        <f>"TYGON AAC00027 ID3/8 OD1"</f>
        <v>TYGON AAC00027 ID3/8 OD1</v>
      </c>
      <c r="I78">
        <v>150</v>
      </c>
      <c r="J78">
        <v>0</v>
      </c>
      <c r="K78">
        <v>0</v>
      </c>
      <c r="L78">
        <v>150</v>
      </c>
      <c r="M78">
        <v>0</v>
      </c>
      <c r="N78">
        <v>978836</v>
      </c>
      <c r="O78" s="1">
        <v>41381</v>
      </c>
      <c r="P78">
        <v>10</v>
      </c>
      <c r="Q78" t="str">
        <f>"78CS03   "</f>
        <v xml:space="preserve">78CS03   </v>
      </c>
    </row>
    <row r="79" spans="1:17" x14ac:dyDescent="0.25">
      <c r="A79" t="str">
        <f t="shared" si="1"/>
        <v>19175</v>
      </c>
      <c r="B79">
        <v>978176</v>
      </c>
      <c r="C79" s="1">
        <v>41372</v>
      </c>
      <c r="D79" t="str">
        <f t="shared" si="2"/>
        <v xml:space="preserve">00170701            </v>
      </c>
      <c r="E79">
        <v>14</v>
      </c>
      <c r="F79">
        <v>40</v>
      </c>
      <c r="G79" t="s">
        <v>24</v>
      </c>
      <c r="H79" t="str">
        <f>"IND***4026-8 MEDIUM GLOV"</f>
        <v>IND***4026-8 MEDIUM GLOV</v>
      </c>
      <c r="I79">
        <v>48</v>
      </c>
      <c r="J79">
        <v>0</v>
      </c>
      <c r="K79">
        <v>0</v>
      </c>
      <c r="L79">
        <v>48</v>
      </c>
      <c r="M79">
        <v>0</v>
      </c>
      <c r="N79">
        <v>978842</v>
      </c>
      <c r="O79" s="1">
        <v>41372</v>
      </c>
      <c r="P79">
        <v>10</v>
      </c>
      <c r="Q79" t="str">
        <f>"78HH85   "</f>
        <v xml:space="preserve">78HH85   </v>
      </c>
    </row>
    <row r="80" spans="1:17" x14ac:dyDescent="0.25">
      <c r="A80" t="str">
        <f t="shared" si="1"/>
        <v>19175</v>
      </c>
      <c r="B80">
        <v>978176</v>
      </c>
      <c r="C80" s="1">
        <v>41372</v>
      </c>
      <c r="D80" t="str">
        <f t="shared" si="2"/>
        <v xml:space="preserve">00170701            </v>
      </c>
      <c r="E80">
        <v>14</v>
      </c>
      <c r="F80">
        <v>50</v>
      </c>
      <c r="G80" t="s">
        <v>71</v>
      </c>
      <c r="H80" t="str">
        <f>"3MAH 311-1115 EXPRESS EA"</f>
        <v>3MAH 311-1115 EXPRESS EA</v>
      </c>
      <c r="I80">
        <v>4</v>
      </c>
      <c r="J80">
        <v>0</v>
      </c>
      <c r="K80">
        <v>0</v>
      </c>
      <c r="L80">
        <v>4</v>
      </c>
      <c r="M80">
        <v>0</v>
      </c>
      <c r="N80">
        <v>978860</v>
      </c>
      <c r="O80" t="s">
        <v>25</v>
      </c>
      <c r="P80">
        <v>140</v>
      </c>
      <c r="Q80" t="str">
        <f>"XX7302   "</f>
        <v xml:space="preserve">XX7302   </v>
      </c>
    </row>
    <row r="81" spans="1:17" x14ac:dyDescent="0.25">
      <c r="A81" t="str">
        <f t="shared" si="1"/>
        <v>19175</v>
      </c>
      <c r="B81">
        <v>978176</v>
      </c>
      <c r="C81" s="1">
        <v>41372</v>
      </c>
      <c r="D81" t="str">
        <f t="shared" si="2"/>
        <v xml:space="preserve">00170701            </v>
      </c>
      <c r="E81">
        <v>14</v>
      </c>
      <c r="F81">
        <v>60</v>
      </c>
      <c r="G81" t="s">
        <v>72</v>
      </c>
      <c r="H81" t="str">
        <f>"PHOENIX 2866747 QNT-PS/1"</f>
        <v>PHOENIX 2866747 QNT-PS/1</v>
      </c>
      <c r="I81">
        <v>2</v>
      </c>
      <c r="J81">
        <v>0</v>
      </c>
      <c r="K81">
        <v>0</v>
      </c>
      <c r="L81">
        <v>2</v>
      </c>
      <c r="M81">
        <v>0</v>
      </c>
      <c r="N81">
        <v>978827</v>
      </c>
      <c r="O81" s="1">
        <v>41376</v>
      </c>
      <c r="P81">
        <v>10</v>
      </c>
      <c r="Q81" t="str">
        <f>"78A160   "</f>
        <v xml:space="preserve">78A160   </v>
      </c>
    </row>
    <row r="82" spans="1:17" x14ac:dyDescent="0.25">
      <c r="A82" t="str">
        <f t="shared" si="1"/>
        <v>19175</v>
      </c>
      <c r="B82">
        <v>978176</v>
      </c>
      <c r="C82" s="1">
        <v>41372</v>
      </c>
      <c r="D82" t="str">
        <f t="shared" si="2"/>
        <v xml:space="preserve">00170701            </v>
      </c>
      <c r="E82">
        <v>14</v>
      </c>
      <c r="F82">
        <v>70</v>
      </c>
      <c r="G82" t="s">
        <v>24</v>
      </c>
      <c r="H82" t="str">
        <f>"IND***URMK N-TRON RACK  "</f>
        <v xml:space="preserve">IND***URMK N-TRON RACK  </v>
      </c>
      <c r="I82">
        <v>10</v>
      </c>
      <c r="J82">
        <v>0</v>
      </c>
      <c r="K82">
        <v>0</v>
      </c>
      <c r="L82">
        <v>10</v>
      </c>
      <c r="M82">
        <v>0</v>
      </c>
      <c r="N82">
        <v>978846</v>
      </c>
      <c r="O82" t="s">
        <v>25</v>
      </c>
      <c r="P82">
        <v>10</v>
      </c>
      <c r="Q82" t="str">
        <f>"78R710   "</f>
        <v xml:space="preserve">78R710   </v>
      </c>
    </row>
    <row r="83" spans="1:17" x14ac:dyDescent="0.25">
      <c r="A83" t="str">
        <f t="shared" si="1"/>
        <v>19175</v>
      </c>
      <c r="B83">
        <v>978176</v>
      </c>
      <c r="C83" s="1">
        <v>41372</v>
      </c>
      <c r="D83" t="str">
        <f t="shared" si="2"/>
        <v xml:space="preserve">00170701            </v>
      </c>
      <c r="E83">
        <v>14</v>
      </c>
      <c r="F83">
        <v>80</v>
      </c>
      <c r="G83" t="s">
        <v>73</v>
      </c>
      <c r="H83" t="str">
        <f>"T&amp;B RCT703 TERMINAL     "</f>
        <v xml:space="preserve">T&amp;B RCT703 TERMINAL     </v>
      </c>
      <c r="I83">
        <v>10</v>
      </c>
      <c r="J83">
        <v>0</v>
      </c>
      <c r="K83">
        <v>0</v>
      </c>
      <c r="L83">
        <v>10</v>
      </c>
      <c r="M83">
        <v>0</v>
      </c>
      <c r="N83">
        <v>978860</v>
      </c>
      <c r="O83" s="1">
        <v>41374</v>
      </c>
      <c r="P83">
        <v>210</v>
      </c>
      <c r="Q83" t="str">
        <f>"XX7302   "</f>
        <v xml:space="preserve">XX7302   </v>
      </c>
    </row>
    <row r="84" spans="1:17" x14ac:dyDescent="0.25">
      <c r="A84" t="str">
        <f t="shared" si="1"/>
        <v>19175</v>
      </c>
      <c r="B84">
        <v>978176</v>
      </c>
      <c r="C84" s="1">
        <v>41372</v>
      </c>
      <c r="D84" t="str">
        <f t="shared" si="2"/>
        <v xml:space="preserve">00170701            </v>
      </c>
      <c r="E84">
        <v>14</v>
      </c>
      <c r="F84">
        <v>90</v>
      </c>
      <c r="G84" t="s">
        <v>74</v>
      </c>
      <c r="H84" t="str">
        <f>"HPS GC141A02 4-300MCM GR"</f>
        <v>HPS GC141A02 4-300MCM GR</v>
      </c>
      <c r="I84">
        <v>24</v>
      </c>
      <c r="J84">
        <v>0</v>
      </c>
      <c r="K84">
        <v>0</v>
      </c>
      <c r="L84">
        <v>24</v>
      </c>
      <c r="M84">
        <v>0</v>
      </c>
      <c r="N84">
        <v>978858</v>
      </c>
      <c r="O84" t="s">
        <v>25</v>
      </c>
      <c r="P84">
        <v>10</v>
      </c>
      <c r="Q84" t="str">
        <f>"XX1120   "</f>
        <v xml:space="preserve">XX1120   </v>
      </c>
    </row>
    <row r="85" spans="1:17" x14ac:dyDescent="0.25">
      <c r="A85" t="str">
        <f t="shared" si="1"/>
        <v>19175</v>
      </c>
      <c r="B85">
        <v>978176</v>
      </c>
      <c r="C85" s="1">
        <v>41372</v>
      </c>
      <c r="D85" t="str">
        <f t="shared" si="2"/>
        <v xml:space="preserve">00170701            </v>
      </c>
      <c r="E85">
        <v>14</v>
      </c>
      <c r="F85">
        <v>100</v>
      </c>
      <c r="G85" t="s">
        <v>75</v>
      </c>
      <c r="H85" t="str">
        <f>"PARKER EB-43-0100       "</f>
        <v xml:space="preserve">PARKER EB-43-0100       </v>
      </c>
      <c r="I85">
        <v>2000</v>
      </c>
      <c r="J85">
        <v>0</v>
      </c>
      <c r="K85">
        <v>0</v>
      </c>
      <c r="L85">
        <v>2000</v>
      </c>
      <c r="M85">
        <v>0</v>
      </c>
      <c r="N85">
        <v>978833</v>
      </c>
      <c r="O85" s="1">
        <v>41379</v>
      </c>
      <c r="P85">
        <v>10</v>
      </c>
      <c r="Q85" t="str">
        <f>"78CG91   "</f>
        <v xml:space="preserve">78CG91   </v>
      </c>
    </row>
    <row r="86" spans="1:17" x14ac:dyDescent="0.25">
      <c r="A86" t="str">
        <f t="shared" si="1"/>
        <v>19175</v>
      </c>
      <c r="B86">
        <v>978325</v>
      </c>
      <c r="C86" s="1">
        <v>41372</v>
      </c>
      <c r="D86" t="str">
        <f>"00170703            "</f>
        <v xml:space="preserve">00170703            </v>
      </c>
      <c r="E86">
        <v>14</v>
      </c>
      <c r="F86">
        <v>20</v>
      </c>
      <c r="G86" t="s">
        <v>24</v>
      </c>
      <c r="H86" t="str">
        <f>"IND***FPL-1DRP07-2420 FI"</f>
        <v>IND***FPL-1DRP07-2420 FI</v>
      </c>
      <c r="I86">
        <v>4</v>
      </c>
      <c r="J86">
        <v>0</v>
      </c>
      <c r="K86">
        <v>0</v>
      </c>
      <c r="L86">
        <v>4</v>
      </c>
      <c r="M86">
        <v>0</v>
      </c>
      <c r="N86">
        <v>978832</v>
      </c>
      <c r="O86" s="1">
        <v>41379</v>
      </c>
      <c r="P86">
        <v>20</v>
      </c>
      <c r="Q86" t="str">
        <f>"78CF14   "</f>
        <v xml:space="preserve">78CF14   </v>
      </c>
    </row>
    <row r="87" spans="1:17" x14ac:dyDescent="0.25">
      <c r="A87" t="str">
        <f t="shared" si="1"/>
        <v>19175</v>
      </c>
      <c r="B87">
        <v>981518</v>
      </c>
      <c r="C87" s="1">
        <v>41373</v>
      </c>
      <c r="D87" t="str">
        <f>"0016938600041       "</f>
        <v xml:space="preserve">0016938600041       </v>
      </c>
      <c r="E87">
        <v>14</v>
      </c>
      <c r="F87">
        <v>30</v>
      </c>
      <c r="G87" t="s">
        <v>76</v>
      </c>
      <c r="H87" t="str">
        <f>"UVEX S8510 PRTCTV FACESH"</f>
        <v>UVEX S8510 PRTCTV FACESH</v>
      </c>
      <c r="I87">
        <v>30</v>
      </c>
      <c r="J87">
        <v>0</v>
      </c>
      <c r="K87">
        <v>0</v>
      </c>
      <c r="L87">
        <v>30</v>
      </c>
      <c r="M87">
        <v>0</v>
      </c>
      <c r="N87">
        <v>983106</v>
      </c>
      <c r="O87" s="1">
        <v>41383</v>
      </c>
      <c r="P87">
        <v>10</v>
      </c>
      <c r="Q87" t="str">
        <f>"78F986   "</f>
        <v xml:space="preserve">78F986   </v>
      </c>
    </row>
    <row r="88" spans="1:17" x14ac:dyDescent="0.25">
      <c r="A88" t="str">
        <f t="shared" si="1"/>
        <v>19175</v>
      </c>
      <c r="B88">
        <v>981518</v>
      </c>
      <c r="C88" s="1">
        <v>41373</v>
      </c>
      <c r="D88" t="str">
        <f>"0016938600041       "</f>
        <v xml:space="preserve">0016938600041       </v>
      </c>
      <c r="E88">
        <v>14</v>
      </c>
      <c r="F88">
        <v>40</v>
      </c>
      <c r="G88" t="s">
        <v>77</v>
      </c>
      <c r="H88" t="str">
        <f>"PHIL F96T12/841/EW-ALTO "</f>
        <v xml:space="preserve">PHIL F96T12/841/EW-ALTO </v>
      </c>
      <c r="I88">
        <v>30</v>
      </c>
      <c r="J88">
        <v>0</v>
      </c>
      <c r="K88">
        <v>0</v>
      </c>
      <c r="L88">
        <v>30</v>
      </c>
      <c r="M88">
        <v>0</v>
      </c>
      <c r="N88">
        <v>983121</v>
      </c>
      <c r="O88" s="1">
        <v>41374</v>
      </c>
      <c r="P88">
        <v>180</v>
      </c>
      <c r="Q88" t="str">
        <f>"XX7302   "</f>
        <v xml:space="preserve">XX7302   </v>
      </c>
    </row>
    <row r="89" spans="1:17" x14ac:dyDescent="0.25">
      <c r="A89" t="str">
        <f t="shared" si="1"/>
        <v>19175</v>
      </c>
      <c r="B89">
        <v>982493</v>
      </c>
      <c r="C89" s="1">
        <v>41373</v>
      </c>
      <c r="D89" t="str">
        <f>"00170764            "</f>
        <v xml:space="preserve">00170764            </v>
      </c>
      <c r="E89">
        <v>14</v>
      </c>
      <c r="F89">
        <v>10</v>
      </c>
      <c r="G89" t="s">
        <v>24</v>
      </c>
      <c r="H89" t="str">
        <f>"IND***SG7910D20 2.0 FULL"</f>
        <v>IND***SG7910D20 2.0 FULL</v>
      </c>
      <c r="I89">
        <v>12</v>
      </c>
      <c r="J89">
        <v>0</v>
      </c>
      <c r="K89">
        <v>0</v>
      </c>
      <c r="L89">
        <v>12</v>
      </c>
      <c r="M89">
        <v>0</v>
      </c>
      <c r="N89">
        <v>967910</v>
      </c>
      <c r="O89" s="1">
        <v>41380</v>
      </c>
      <c r="P89">
        <v>50</v>
      </c>
      <c r="Q89" t="str">
        <f>"78PI17   "</f>
        <v xml:space="preserve">78PI17   </v>
      </c>
    </row>
    <row r="90" spans="1:17" x14ac:dyDescent="0.25">
      <c r="A90" t="str">
        <f t="shared" si="1"/>
        <v>19175</v>
      </c>
      <c r="B90">
        <v>982493</v>
      </c>
      <c r="C90" s="1">
        <v>41373</v>
      </c>
      <c r="D90" t="str">
        <f>"00170764            "</f>
        <v xml:space="preserve">00170764            </v>
      </c>
      <c r="E90">
        <v>14</v>
      </c>
      <c r="F90">
        <v>20</v>
      </c>
      <c r="G90" t="s">
        <v>50</v>
      </c>
      <c r="H90" t="str">
        <f>"C-H E29NY11 IND LIGHT   "</f>
        <v xml:space="preserve">C-H E29NY11 IND LIGHT   </v>
      </c>
      <c r="I90">
        <v>60</v>
      </c>
      <c r="J90">
        <v>0</v>
      </c>
      <c r="K90">
        <v>0</v>
      </c>
      <c r="L90">
        <v>60</v>
      </c>
      <c r="M90">
        <v>0</v>
      </c>
      <c r="N90">
        <v>983100</v>
      </c>
      <c r="O90" t="s">
        <v>25</v>
      </c>
      <c r="P90">
        <v>10</v>
      </c>
      <c r="Q90" t="str">
        <f>"782113   "</f>
        <v xml:space="preserve">782113   </v>
      </c>
    </row>
    <row r="91" spans="1:17" x14ac:dyDescent="0.25">
      <c r="A91" t="str">
        <f t="shared" si="1"/>
        <v>19175</v>
      </c>
      <c r="B91">
        <v>982821</v>
      </c>
      <c r="C91" s="1">
        <v>41373</v>
      </c>
      <c r="D91" t="str">
        <f>"00170779            "</f>
        <v xml:space="preserve">00170779            </v>
      </c>
      <c r="E91">
        <v>14</v>
      </c>
      <c r="F91">
        <v>10</v>
      </c>
      <c r="G91" t="s">
        <v>96</v>
      </c>
      <c r="H91" t="str">
        <f>"CHDTT C0750E4C INDUSTRIA"</f>
        <v>CHDTT C0750E4C INDUSTRIA</v>
      </c>
      <c r="I91">
        <v>2</v>
      </c>
      <c r="J91">
        <v>0</v>
      </c>
      <c r="K91">
        <v>0</v>
      </c>
      <c r="L91">
        <v>2</v>
      </c>
      <c r="M91">
        <v>0</v>
      </c>
      <c r="N91">
        <v>983121</v>
      </c>
      <c r="O91" s="1">
        <v>16166</v>
      </c>
      <c r="P91">
        <v>210</v>
      </c>
      <c r="Q91" t="str">
        <f>"XX7302   "</f>
        <v xml:space="preserve">XX7302   </v>
      </c>
    </row>
    <row r="92" spans="1:17" x14ac:dyDescent="0.25">
      <c r="A92" t="str">
        <f t="shared" si="1"/>
        <v>19175</v>
      </c>
      <c r="B92">
        <v>983251</v>
      </c>
      <c r="C92" s="1">
        <v>41373</v>
      </c>
      <c r="D92" t="str">
        <f>"00170800            "</f>
        <v xml:space="preserve">00170800            </v>
      </c>
      <c r="E92">
        <v>14</v>
      </c>
      <c r="F92">
        <v>10</v>
      </c>
      <c r="G92" t="s">
        <v>97</v>
      </c>
      <c r="H92" t="str">
        <f>"3M 1300L-1QT RUB &amp; GSKT "</f>
        <v xml:space="preserve">3M 1300L-1QT RUB &amp; GSKT </v>
      </c>
      <c r="I92">
        <v>1</v>
      </c>
      <c r="J92">
        <v>0</v>
      </c>
      <c r="K92">
        <v>0</v>
      </c>
      <c r="L92">
        <v>1</v>
      </c>
      <c r="M92">
        <v>0</v>
      </c>
      <c r="N92">
        <v>986659</v>
      </c>
      <c r="O92" t="s">
        <v>25</v>
      </c>
      <c r="P92">
        <v>10</v>
      </c>
      <c r="Q92" t="str">
        <f>"784007   "</f>
        <v xml:space="preserve">784007   </v>
      </c>
    </row>
    <row r="93" spans="1:17" x14ac:dyDescent="0.25">
      <c r="A93" t="str">
        <f t="shared" si="1"/>
        <v>19175</v>
      </c>
      <c r="B93">
        <v>983251</v>
      </c>
      <c r="C93" s="1">
        <v>41373</v>
      </c>
      <c r="D93" t="str">
        <f>"00170800            "</f>
        <v xml:space="preserve">00170800            </v>
      </c>
      <c r="E93">
        <v>14</v>
      </c>
      <c r="F93">
        <v>20</v>
      </c>
      <c r="G93" t="s">
        <v>98</v>
      </c>
      <c r="H93" t="str">
        <f>"IND LHV-5ANSI-XCHV-R-D V"</f>
        <v>IND LHV-5ANSI-XCHV-R-D V</v>
      </c>
      <c r="I93">
        <v>20</v>
      </c>
      <c r="J93">
        <v>0</v>
      </c>
      <c r="K93">
        <v>0</v>
      </c>
      <c r="L93">
        <v>20</v>
      </c>
      <c r="M93">
        <v>0</v>
      </c>
      <c r="N93">
        <v>986674</v>
      </c>
      <c r="O93" t="s">
        <v>25</v>
      </c>
      <c r="P93">
        <v>10</v>
      </c>
      <c r="Q93" t="str">
        <f>"XX3405   "</f>
        <v xml:space="preserve">XX3405   </v>
      </c>
    </row>
    <row r="94" spans="1:17" x14ac:dyDescent="0.25">
      <c r="A94" t="str">
        <f t="shared" si="1"/>
        <v>19175</v>
      </c>
      <c r="B94">
        <v>983251</v>
      </c>
      <c r="C94" s="1">
        <v>41373</v>
      </c>
      <c r="D94" t="str">
        <f>"00170800            "</f>
        <v xml:space="preserve">00170800            </v>
      </c>
      <c r="E94">
        <v>14</v>
      </c>
      <c r="F94">
        <v>30</v>
      </c>
      <c r="G94" t="s">
        <v>24</v>
      </c>
      <c r="H94" t="str">
        <f>"IND***4799 1-GAL SCOTCH "</f>
        <v xml:space="preserve">IND***4799 1-GAL SCOTCH </v>
      </c>
      <c r="I94">
        <v>4</v>
      </c>
      <c r="J94">
        <v>0</v>
      </c>
      <c r="K94">
        <v>0</v>
      </c>
      <c r="L94">
        <v>4</v>
      </c>
      <c r="M94">
        <v>0</v>
      </c>
      <c r="N94">
        <v>986659</v>
      </c>
      <c r="O94" t="s">
        <v>25</v>
      </c>
      <c r="P94">
        <v>20</v>
      </c>
      <c r="Q94" t="str">
        <f>"784007   "</f>
        <v xml:space="preserve">784007   </v>
      </c>
    </row>
    <row r="95" spans="1:17" x14ac:dyDescent="0.25">
      <c r="A95" t="str">
        <f t="shared" si="1"/>
        <v>19175</v>
      </c>
      <c r="B95">
        <v>983251</v>
      </c>
      <c r="C95" s="1">
        <v>41373</v>
      </c>
      <c r="D95" t="str">
        <f>"00170800            "</f>
        <v xml:space="preserve">00170800            </v>
      </c>
      <c r="E95">
        <v>14</v>
      </c>
      <c r="F95">
        <v>42</v>
      </c>
      <c r="G95" t="s">
        <v>99</v>
      </c>
      <c r="H95" t="str">
        <f>"CRS-H EYS51 1-1/2 FEM CO"</f>
        <v>CRS-H EYS51 1-1/2 FEM CO</v>
      </c>
      <c r="I95">
        <v>6</v>
      </c>
      <c r="J95">
        <v>0</v>
      </c>
      <c r="K95">
        <v>0</v>
      </c>
      <c r="L95">
        <v>6</v>
      </c>
      <c r="M95">
        <v>0</v>
      </c>
      <c r="N95">
        <v>986675</v>
      </c>
      <c r="O95" t="s">
        <v>25</v>
      </c>
      <c r="P95">
        <v>40</v>
      </c>
      <c r="Q95" t="str">
        <f>"XX7302   "</f>
        <v xml:space="preserve">XX7302   </v>
      </c>
    </row>
    <row r="96" spans="1:17" x14ac:dyDescent="0.25">
      <c r="A96" t="str">
        <f t="shared" si="1"/>
        <v>19175</v>
      </c>
      <c r="B96">
        <v>983251</v>
      </c>
      <c r="C96" s="1">
        <v>41373</v>
      </c>
      <c r="D96" t="str">
        <f>"00170800            "</f>
        <v xml:space="preserve">00170800            </v>
      </c>
      <c r="E96">
        <v>14</v>
      </c>
      <c r="F96">
        <v>52</v>
      </c>
      <c r="G96" t="s">
        <v>74</v>
      </c>
      <c r="H96" t="str">
        <f>"HPS GC141A02 4-300MCM GR"</f>
        <v>HPS GC141A02 4-300MCM GR</v>
      </c>
      <c r="I96">
        <v>24</v>
      </c>
      <c r="J96">
        <v>0</v>
      </c>
      <c r="K96">
        <v>0</v>
      </c>
      <c r="L96">
        <v>24</v>
      </c>
      <c r="M96">
        <v>0</v>
      </c>
      <c r="N96">
        <v>986673</v>
      </c>
      <c r="O96" t="s">
        <v>25</v>
      </c>
      <c r="P96">
        <v>10</v>
      </c>
      <c r="Q96" t="str">
        <f>"XX1120   "</f>
        <v xml:space="preserve">XX1120   </v>
      </c>
    </row>
    <row r="97" spans="1:17" x14ac:dyDescent="0.25">
      <c r="A97" t="str">
        <f t="shared" si="1"/>
        <v>19175</v>
      </c>
      <c r="B97">
        <v>985790</v>
      </c>
      <c r="C97" s="1">
        <v>41374</v>
      </c>
      <c r="D97" t="str">
        <f>"00170835            "</f>
        <v xml:space="preserve">00170835            </v>
      </c>
      <c r="E97">
        <v>14</v>
      </c>
      <c r="F97">
        <v>10</v>
      </c>
      <c r="G97" t="s">
        <v>100</v>
      </c>
      <c r="H97" t="str">
        <f>"IND GVDR-LG-1C GLOVES DI"</f>
        <v>IND GVDR-LG-1C GLOVES DI</v>
      </c>
      <c r="I97">
        <v>80</v>
      </c>
      <c r="J97">
        <v>0</v>
      </c>
      <c r="K97">
        <v>0</v>
      </c>
      <c r="L97">
        <v>80</v>
      </c>
      <c r="M97">
        <v>0</v>
      </c>
      <c r="N97">
        <v>986669</v>
      </c>
      <c r="O97" t="s">
        <v>25</v>
      </c>
      <c r="P97">
        <v>10</v>
      </c>
      <c r="Q97" t="str">
        <f>"78SR07   "</f>
        <v xml:space="preserve">78SR07   </v>
      </c>
    </row>
    <row r="98" spans="1:17" x14ac:dyDescent="0.25">
      <c r="A98" t="str">
        <f t="shared" si="1"/>
        <v>19175</v>
      </c>
      <c r="B98">
        <v>986815</v>
      </c>
      <c r="C98" s="1">
        <v>41374</v>
      </c>
      <c r="D98" t="str">
        <f>"00170872            "</f>
        <v xml:space="preserve">00170872            </v>
      </c>
      <c r="E98">
        <v>14</v>
      </c>
      <c r="F98">
        <v>10</v>
      </c>
      <c r="G98" t="s">
        <v>24</v>
      </c>
      <c r="H98" t="str">
        <f>"IND***NEBO 5620 FLASHLIG"</f>
        <v>IND***NEBO 5620 FLASHLIG</v>
      </c>
      <c r="I98">
        <v>18</v>
      </c>
      <c r="J98">
        <v>0</v>
      </c>
      <c r="K98">
        <v>0</v>
      </c>
      <c r="L98">
        <v>18</v>
      </c>
      <c r="M98">
        <v>0</v>
      </c>
      <c r="N98" t="s">
        <v>23</v>
      </c>
      <c r="O98" t="s">
        <v>25</v>
      </c>
      <c r="P98" t="s">
        <v>26</v>
      </c>
      <c r="Q98" t="str">
        <f>"         "</f>
        <v xml:space="preserve">         </v>
      </c>
    </row>
    <row r="99" spans="1:17" x14ac:dyDescent="0.25">
      <c r="A99" t="str">
        <f t="shared" si="1"/>
        <v>19175</v>
      </c>
      <c r="B99">
        <v>986815</v>
      </c>
      <c r="C99" s="1">
        <v>41374</v>
      </c>
      <c r="D99" t="str">
        <f>"00170872            "</f>
        <v xml:space="preserve">00170872            </v>
      </c>
      <c r="E99">
        <v>14</v>
      </c>
      <c r="F99">
        <v>20</v>
      </c>
      <c r="G99" t="s">
        <v>24</v>
      </c>
      <c r="H99" t="str">
        <f>"IND***D00559-0004 ASSEMB"</f>
        <v>IND***D00559-0004 ASSEMB</v>
      </c>
      <c r="I99">
        <v>4</v>
      </c>
      <c r="J99">
        <v>0</v>
      </c>
      <c r="K99">
        <v>0</v>
      </c>
      <c r="L99">
        <v>4</v>
      </c>
      <c r="M99">
        <v>0</v>
      </c>
      <c r="N99" t="s">
        <v>23</v>
      </c>
      <c r="O99" t="s">
        <v>25</v>
      </c>
      <c r="P99" t="s">
        <v>26</v>
      </c>
      <c r="Q99" t="str">
        <f>"         "</f>
        <v xml:space="preserve">         </v>
      </c>
    </row>
    <row r="100" spans="1:17" x14ac:dyDescent="0.25">
      <c r="A100" t="str">
        <f t="shared" si="1"/>
        <v>19175</v>
      </c>
      <c r="B100">
        <v>986815</v>
      </c>
      <c r="C100" s="1">
        <v>41374</v>
      </c>
      <c r="D100" t="str">
        <f>"00170872            "</f>
        <v xml:space="preserve">00170872            </v>
      </c>
      <c r="E100">
        <v>14</v>
      </c>
      <c r="F100">
        <v>36</v>
      </c>
      <c r="G100" t="s">
        <v>24</v>
      </c>
      <c r="H100" t="str">
        <f>"IND***10118421 HARD HAT "</f>
        <v xml:space="preserve">IND***10118421 HARD HAT </v>
      </c>
      <c r="I100">
        <v>30</v>
      </c>
      <c r="J100">
        <v>0</v>
      </c>
      <c r="K100">
        <v>0</v>
      </c>
      <c r="L100">
        <v>30</v>
      </c>
      <c r="M100">
        <v>0</v>
      </c>
      <c r="N100" t="s">
        <v>23</v>
      </c>
      <c r="O100" t="s">
        <v>25</v>
      </c>
      <c r="P100" t="s">
        <v>26</v>
      </c>
      <c r="Q100" t="str">
        <f>"         "</f>
        <v xml:space="preserve">         </v>
      </c>
    </row>
    <row r="101" spans="1:17" x14ac:dyDescent="0.25">
      <c r="A101" t="str">
        <f t="shared" si="1"/>
        <v>19175</v>
      </c>
      <c r="B101">
        <v>986815</v>
      </c>
      <c r="C101" s="1">
        <v>41374</v>
      </c>
      <c r="D101" t="str">
        <f>"00170872            "</f>
        <v xml:space="preserve">00170872            </v>
      </c>
      <c r="E101">
        <v>14</v>
      </c>
      <c r="F101">
        <v>46</v>
      </c>
      <c r="G101" t="s">
        <v>24</v>
      </c>
      <c r="H101" t="str">
        <f>"IND***GE 711U FIRE DETEC"</f>
        <v>IND***GE 711U FIRE DETEC</v>
      </c>
      <c r="I101">
        <v>2</v>
      </c>
      <c r="J101">
        <v>0</v>
      </c>
      <c r="K101">
        <v>0</v>
      </c>
      <c r="L101">
        <v>2</v>
      </c>
      <c r="M101">
        <v>0</v>
      </c>
      <c r="N101" t="s">
        <v>23</v>
      </c>
      <c r="O101" t="s">
        <v>25</v>
      </c>
      <c r="P101" t="s">
        <v>26</v>
      </c>
      <c r="Q101" t="str">
        <f>"         "</f>
        <v xml:space="preserve">         </v>
      </c>
    </row>
    <row r="102" spans="1:17" x14ac:dyDescent="0.25">
      <c r="A102" t="str">
        <f t="shared" ref="A102:A132" si="3">"19180"</f>
        <v>19180</v>
      </c>
      <c r="B102">
        <v>73316</v>
      </c>
      <c r="C102" s="1">
        <v>41058</v>
      </c>
      <c r="D102" t="str">
        <f>"00159647            "</f>
        <v xml:space="preserve">00159647            </v>
      </c>
      <c r="E102">
        <v>14</v>
      </c>
      <c r="F102">
        <v>105</v>
      </c>
      <c r="G102" t="s">
        <v>24</v>
      </c>
      <c r="H102" t="str">
        <f>"IND***GE W9257BJP32 TEMP"</f>
        <v>IND***GE W9257BJP32 TEMP</v>
      </c>
      <c r="I102">
        <v>1</v>
      </c>
      <c r="J102">
        <v>0</v>
      </c>
      <c r="K102">
        <v>0</v>
      </c>
      <c r="L102">
        <v>1</v>
      </c>
      <c r="M102">
        <v>0</v>
      </c>
      <c r="N102">
        <v>75909</v>
      </c>
      <c r="O102" t="s">
        <v>25</v>
      </c>
      <c r="P102">
        <v>10</v>
      </c>
      <c r="Q102" t="str">
        <f>"XX7610   "</f>
        <v xml:space="preserve">XX7610   </v>
      </c>
    </row>
    <row r="103" spans="1:17" x14ac:dyDescent="0.25">
      <c r="A103" t="str">
        <f t="shared" si="3"/>
        <v>19180</v>
      </c>
      <c r="B103">
        <v>242226</v>
      </c>
      <c r="C103" s="1">
        <v>41109</v>
      </c>
      <c r="D103" t="str">
        <f>"00161419            "</f>
        <v xml:space="preserve">00161419            </v>
      </c>
      <c r="E103">
        <v>14</v>
      </c>
      <c r="F103">
        <v>83</v>
      </c>
      <c r="G103" t="s">
        <v>24</v>
      </c>
      <c r="H103" t="str">
        <f>"IND***AMREP MISTY A00442"</f>
        <v>IND***AMREP MISTY A00442</v>
      </c>
      <c r="I103">
        <v>36</v>
      </c>
      <c r="J103">
        <v>0</v>
      </c>
      <c r="K103">
        <v>0</v>
      </c>
      <c r="L103">
        <v>36</v>
      </c>
      <c r="M103">
        <v>0</v>
      </c>
      <c r="N103">
        <v>242229</v>
      </c>
      <c r="O103" s="1">
        <v>41141</v>
      </c>
      <c r="P103">
        <v>10</v>
      </c>
      <c r="Q103" t="str">
        <f>"78B939   "</f>
        <v xml:space="preserve">78B939   </v>
      </c>
    </row>
    <row r="104" spans="1:17" x14ac:dyDescent="0.25">
      <c r="A104" t="str">
        <f t="shared" si="3"/>
        <v>19180</v>
      </c>
      <c r="B104">
        <v>626057</v>
      </c>
      <c r="C104" s="1">
        <v>41234</v>
      </c>
      <c r="D104" t="str">
        <f>"00166075            "</f>
        <v xml:space="preserve">00166075            </v>
      </c>
      <c r="E104">
        <v>14</v>
      </c>
      <c r="F104">
        <v>66</v>
      </c>
      <c r="G104" t="s">
        <v>24</v>
      </c>
      <c r="H104" t="str">
        <f>"IND***2300N95 DUST RESPI"</f>
        <v>IND***2300N95 DUST RESPI</v>
      </c>
      <c r="I104">
        <v>100</v>
      </c>
      <c r="J104">
        <v>0</v>
      </c>
      <c r="K104">
        <v>0</v>
      </c>
      <c r="L104">
        <v>100</v>
      </c>
      <c r="M104">
        <v>0</v>
      </c>
      <c r="N104">
        <v>928066</v>
      </c>
      <c r="O104" t="s">
        <v>25</v>
      </c>
      <c r="P104">
        <v>10</v>
      </c>
      <c r="Q104" t="str">
        <f>"78MQ52   "</f>
        <v xml:space="preserve">78MQ52   </v>
      </c>
    </row>
    <row r="105" spans="1:17" x14ac:dyDescent="0.25">
      <c r="A105" t="str">
        <f t="shared" si="3"/>
        <v>19180</v>
      </c>
      <c r="B105">
        <v>758340</v>
      </c>
      <c r="C105" s="1">
        <v>41292</v>
      </c>
      <c r="D105" t="str">
        <f>"00167753            "</f>
        <v xml:space="preserve">00167753            </v>
      </c>
      <c r="E105">
        <v>14</v>
      </c>
      <c r="F105">
        <v>10</v>
      </c>
      <c r="G105" t="s">
        <v>78</v>
      </c>
      <c r="H105" t="str">
        <f>"NASCO 1001TY154L LG RAIN"</f>
        <v>NASCO 1001TY154L LG RAIN</v>
      </c>
      <c r="I105">
        <v>1</v>
      </c>
      <c r="J105">
        <v>0</v>
      </c>
      <c r="K105">
        <v>0</v>
      </c>
      <c r="L105">
        <v>1</v>
      </c>
      <c r="M105">
        <v>0</v>
      </c>
      <c r="N105">
        <v>761144</v>
      </c>
      <c r="O105" s="1">
        <v>41397</v>
      </c>
      <c r="P105">
        <v>100</v>
      </c>
      <c r="Q105" t="str">
        <f>"78N422   "</f>
        <v xml:space="preserve">78N422   </v>
      </c>
    </row>
    <row r="106" spans="1:17" x14ac:dyDescent="0.25">
      <c r="A106" t="str">
        <f t="shared" si="3"/>
        <v>19180</v>
      </c>
      <c r="B106">
        <v>855229</v>
      </c>
      <c r="C106" s="1">
        <v>41327</v>
      </c>
      <c r="D106" t="str">
        <f>"00169125            "</f>
        <v xml:space="preserve">00169125            </v>
      </c>
      <c r="E106">
        <v>14</v>
      </c>
      <c r="F106">
        <v>20</v>
      </c>
      <c r="G106" t="s">
        <v>79</v>
      </c>
      <c r="H106" t="str">
        <f>"NASCO 1003JY154XXL XXL R"</f>
        <v>NASCO 1003JY154XXL XXL R</v>
      </c>
      <c r="I106">
        <v>21</v>
      </c>
      <c r="J106">
        <v>0</v>
      </c>
      <c r="K106">
        <v>0</v>
      </c>
      <c r="L106">
        <v>19</v>
      </c>
      <c r="M106">
        <v>2</v>
      </c>
      <c r="N106">
        <v>865455</v>
      </c>
      <c r="O106" s="1">
        <v>41432</v>
      </c>
      <c r="P106">
        <v>100</v>
      </c>
      <c r="Q106" t="str">
        <f>"78N422   "</f>
        <v xml:space="preserve">78N422   </v>
      </c>
    </row>
    <row r="107" spans="1:17" x14ac:dyDescent="0.25">
      <c r="A107" t="str">
        <f t="shared" si="3"/>
        <v>19180</v>
      </c>
      <c r="B107">
        <v>861530</v>
      </c>
      <c r="C107" s="1">
        <v>41331</v>
      </c>
      <c r="D107" t="str">
        <f>"00169208            "</f>
        <v xml:space="preserve">00169208            </v>
      </c>
      <c r="E107">
        <v>14</v>
      </c>
      <c r="F107">
        <v>40</v>
      </c>
      <c r="G107" t="s">
        <v>80</v>
      </c>
      <c r="H107" t="str">
        <f>"CRS-H VXFT10 JCT BOX    "</f>
        <v xml:space="preserve">CRS-H VXFT10 JCT BOX    </v>
      </c>
      <c r="I107">
        <v>20</v>
      </c>
      <c r="J107">
        <v>0</v>
      </c>
      <c r="K107">
        <v>0</v>
      </c>
      <c r="L107">
        <v>20</v>
      </c>
      <c r="M107">
        <v>0</v>
      </c>
      <c r="N107">
        <v>862166</v>
      </c>
      <c r="O107" s="1">
        <v>41389</v>
      </c>
      <c r="P107">
        <v>220</v>
      </c>
      <c r="Q107" t="str">
        <f>"XX7302   "</f>
        <v xml:space="preserve">XX7302   </v>
      </c>
    </row>
    <row r="108" spans="1:17" x14ac:dyDescent="0.25">
      <c r="A108" t="str">
        <f t="shared" si="3"/>
        <v>19180</v>
      </c>
      <c r="B108">
        <v>910978</v>
      </c>
      <c r="C108" s="1">
        <v>41347</v>
      </c>
      <c r="D108" t="str">
        <f>"00169846            "</f>
        <v xml:space="preserve">00169846            </v>
      </c>
      <c r="E108">
        <v>14</v>
      </c>
      <c r="F108">
        <v>10</v>
      </c>
      <c r="G108" t="s">
        <v>24</v>
      </c>
      <c r="H108" t="str">
        <f>"IND***41151 XXL YELLOW C"</f>
        <v>IND***41151 XXL YELLOW C</v>
      </c>
      <c r="I108">
        <v>48</v>
      </c>
      <c r="J108">
        <v>0</v>
      </c>
      <c r="K108">
        <v>0</v>
      </c>
      <c r="L108">
        <v>48</v>
      </c>
      <c r="M108">
        <v>0</v>
      </c>
      <c r="N108">
        <v>911682</v>
      </c>
      <c r="O108" s="1">
        <v>41410</v>
      </c>
      <c r="P108">
        <v>10</v>
      </c>
      <c r="Q108" t="str">
        <f>"78L205   "</f>
        <v xml:space="preserve">78L205   </v>
      </c>
    </row>
    <row r="109" spans="1:17" x14ac:dyDescent="0.25">
      <c r="A109" t="str">
        <f t="shared" si="3"/>
        <v>19180</v>
      </c>
      <c r="B109">
        <v>911764</v>
      </c>
      <c r="C109" s="1">
        <v>41347</v>
      </c>
      <c r="D109" t="str">
        <f>"00169867            "</f>
        <v xml:space="preserve">00169867            </v>
      </c>
      <c r="E109">
        <v>14</v>
      </c>
      <c r="F109">
        <v>10</v>
      </c>
      <c r="G109" t="s">
        <v>24</v>
      </c>
      <c r="H109" t="str">
        <f>"IND***8X00035-001 FIBER "</f>
        <v xml:space="preserve">IND***8X00035-001 FIBER </v>
      </c>
      <c r="I109">
        <v>2</v>
      </c>
      <c r="J109">
        <v>0</v>
      </c>
      <c r="K109">
        <v>0</v>
      </c>
      <c r="L109">
        <v>2</v>
      </c>
      <c r="M109">
        <v>0</v>
      </c>
      <c r="N109">
        <v>911765</v>
      </c>
      <c r="O109" t="s">
        <v>25</v>
      </c>
      <c r="P109">
        <v>10</v>
      </c>
      <c r="Q109" t="str">
        <f>"78CB64   "</f>
        <v xml:space="preserve">78CB64   </v>
      </c>
    </row>
    <row r="110" spans="1:17" x14ac:dyDescent="0.25">
      <c r="A110" t="str">
        <f t="shared" si="3"/>
        <v>19180</v>
      </c>
      <c r="B110">
        <v>916086</v>
      </c>
      <c r="C110" s="1">
        <v>41348</v>
      </c>
      <c r="D110" t="str">
        <f>"00169897            "</f>
        <v xml:space="preserve">00169897            </v>
      </c>
      <c r="E110">
        <v>14</v>
      </c>
      <c r="F110">
        <v>20</v>
      </c>
      <c r="G110" t="s">
        <v>24</v>
      </c>
      <c r="H110" t="str">
        <f>"IND***03-740108-00 SOLID"</f>
        <v>IND***03-740108-00 SOLID</v>
      </c>
      <c r="I110">
        <v>1</v>
      </c>
      <c r="J110">
        <v>0</v>
      </c>
      <c r="K110">
        <v>0</v>
      </c>
      <c r="L110">
        <v>1</v>
      </c>
      <c r="M110">
        <v>0</v>
      </c>
      <c r="N110">
        <v>919940</v>
      </c>
      <c r="O110" s="1">
        <v>41379</v>
      </c>
      <c r="P110">
        <v>10</v>
      </c>
      <c r="Q110" t="str">
        <f>"78S118   "</f>
        <v xml:space="preserve">78S118   </v>
      </c>
    </row>
    <row r="111" spans="1:17" x14ac:dyDescent="0.25">
      <c r="A111" t="str">
        <f t="shared" si="3"/>
        <v>19180</v>
      </c>
      <c r="B111">
        <v>916086</v>
      </c>
      <c r="C111" s="1">
        <v>41348</v>
      </c>
      <c r="D111" t="str">
        <f>"00169897            "</f>
        <v xml:space="preserve">00169897            </v>
      </c>
      <c r="E111">
        <v>14</v>
      </c>
      <c r="F111">
        <v>30</v>
      </c>
      <c r="G111" t="s">
        <v>24</v>
      </c>
      <c r="H111" t="str">
        <f>"IND***03-740001-00 SOLID"</f>
        <v>IND***03-740001-00 SOLID</v>
      </c>
      <c r="I111">
        <v>2</v>
      </c>
      <c r="J111">
        <v>0</v>
      </c>
      <c r="K111">
        <v>0</v>
      </c>
      <c r="L111">
        <v>2</v>
      </c>
      <c r="M111">
        <v>0</v>
      </c>
      <c r="N111">
        <v>919940</v>
      </c>
      <c r="O111" s="1">
        <v>41379</v>
      </c>
      <c r="P111">
        <v>20</v>
      </c>
      <c r="Q111" t="str">
        <f>"78S118   "</f>
        <v xml:space="preserve">78S118   </v>
      </c>
    </row>
    <row r="112" spans="1:17" x14ac:dyDescent="0.25">
      <c r="A112" t="str">
        <f t="shared" si="3"/>
        <v>19180</v>
      </c>
      <c r="B112">
        <v>934621</v>
      </c>
      <c r="C112" s="1">
        <v>41355</v>
      </c>
      <c r="D112" t="str">
        <f>"00170145            "</f>
        <v xml:space="preserve">00170145            </v>
      </c>
      <c r="E112">
        <v>14</v>
      </c>
      <c r="F112">
        <v>20</v>
      </c>
      <c r="G112" t="s">
        <v>24</v>
      </c>
      <c r="H112" t="str">
        <f>"IND***9SS6-CCT4753 CLEAT"</f>
        <v>IND***9SS6-CCT4753 CLEAT</v>
      </c>
      <c r="I112">
        <v>300</v>
      </c>
      <c r="J112">
        <v>0</v>
      </c>
      <c r="K112">
        <v>0</v>
      </c>
      <c r="L112">
        <v>300</v>
      </c>
      <c r="M112">
        <v>0</v>
      </c>
      <c r="N112">
        <v>935091</v>
      </c>
      <c r="O112" s="1">
        <v>41397</v>
      </c>
      <c r="P112">
        <v>10</v>
      </c>
      <c r="Q112" t="str">
        <f>"781011   "</f>
        <v xml:space="preserve">781011   </v>
      </c>
    </row>
    <row r="113" spans="1:17" x14ac:dyDescent="0.25">
      <c r="A113" t="str">
        <f t="shared" si="3"/>
        <v>19180</v>
      </c>
      <c r="B113">
        <v>937973</v>
      </c>
      <c r="C113" s="1">
        <v>41358</v>
      </c>
      <c r="D113" t="str">
        <f>"00170207            "</f>
        <v xml:space="preserve">00170207            </v>
      </c>
      <c r="E113">
        <v>14</v>
      </c>
      <c r="F113">
        <v>54</v>
      </c>
      <c r="G113" t="s">
        <v>24</v>
      </c>
      <c r="H113" t="str">
        <f>"IND***FISHER 38B5786X142"</f>
        <v>IND***FISHER 38B5786X142</v>
      </c>
      <c r="I113">
        <v>4</v>
      </c>
      <c r="J113">
        <v>0</v>
      </c>
      <c r="K113">
        <v>0</v>
      </c>
      <c r="L113">
        <v>2</v>
      </c>
      <c r="M113">
        <v>2</v>
      </c>
      <c r="N113">
        <v>938237</v>
      </c>
      <c r="O113" t="s">
        <v>25</v>
      </c>
      <c r="P113">
        <v>10</v>
      </c>
      <c r="Q113" t="str">
        <f>"78F633   "</f>
        <v xml:space="preserve">78F633   </v>
      </c>
    </row>
    <row r="114" spans="1:17" x14ac:dyDescent="0.25">
      <c r="A114" t="str">
        <f t="shared" si="3"/>
        <v>19180</v>
      </c>
      <c r="B114">
        <v>942224</v>
      </c>
      <c r="C114" s="1">
        <v>41359</v>
      </c>
      <c r="D114" t="str">
        <f>"00170286            "</f>
        <v xml:space="preserve">00170286            </v>
      </c>
      <c r="E114">
        <v>14</v>
      </c>
      <c r="F114">
        <v>10</v>
      </c>
      <c r="G114" t="s">
        <v>24</v>
      </c>
      <c r="H114" t="str">
        <f>"IND***GE CR2940U203 SWIT"</f>
        <v>IND***GE CR2940U203 SWIT</v>
      </c>
      <c r="I114">
        <v>3</v>
      </c>
      <c r="J114">
        <v>0</v>
      </c>
      <c r="K114">
        <v>0</v>
      </c>
      <c r="L114">
        <v>3</v>
      </c>
      <c r="M114">
        <v>0</v>
      </c>
      <c r="N114">
        <v>942252</v>
      </c>
      <c r="O114" s="1">
        <v>41383</v>
      </c>
      <c r="P114">
        <v>20</v>
      </c>
      <c r="Q114" t="str">
        <f>"78ID29   "</f>
        <v xml:space="preserve">78ID29   </v>
      </c>
    </row>
    <row r="115" spans="1:17" x14ac:dyDescent="0.25">
      <c r="A115" t="str">
        <f t="shared" si="3"/>
        <v>19180</v>
      </c>
      <c r="B115">
        <v>946407</v>
      </c>
      <c r="C115" s="1">
        <v>41360</v>
      </c>
      <c r="D115" t="str">
        <f>"00170339            "</f>
        <v xml:space="preserve">00170339            </v>
      </c>
      <c r="E115">
        <v>14</v>
      </c>
      <c r="F115">
        <v>20</v>
      </c>
      <c r="G115" t="s">
        <v>24</v>
      </c>
      <c r="H115" t="str">
        <f>"IND***DYMON DO IT ALL 20"</f>
        <v>IND***DYMON DO IT ALL 20</v>
      </c>
      <c r="I115">
        <v>60</v>
      </c>
      <c r="J115">
        <v>0</v>
      </c>
      <c r="K115">
        <v>0</v>
      </c>
      <c r="L115">
        <v>12</v>
      </c>
      <c r="M115">
        <v>48</v>
      </c>
      <c r="N115">
        <v>946575</v>
      </c>
      <c r="O115" s="1">
        <v>41374</v>
      </c>
      <c r="P115">
        <v>10</v>
      </c>
      <c r="Q115" t="str">
        <f>"78U526   "</f>
        <v xml:space="preserve">78U526   </v>
      </c>
    </row>
    <row r="116" spans="1:17" x14ac:dyDescent="0.25">
      <c r="A116" t="str">
        <f t="shared" si="3"/>
        <v>19180</v>
      </c>
      <c r="B116">
        <v>947066</v>
      </c>
      <c r="C116" s="1">
        <v>41360</v>
      </c>
      <c r="D116" t="str">
        <f>"0016938600029       "</f>
        <v xml:space="preserve">0016938600029       </v>
      </c>
      <c r="E116">
        <v>14</v>
      </c>
      <c r="F116">
        <v>10</v>
      </c>
      <c r="G116" t="s">
        <v>81</v>
      </c>
      <c r="H116" t="str">
        <f>"APCO 40X60X4MIL ORG BAG "</f>
        <v xml:space="preserve">APCO 40X60X4MIL ORG BAG </v>
      </c>
      <c r="I116">
        <v>5000</v>
      </c>
      <c r="J116">
        <v>0</v>
      </c>
      <c r="K116">
        <v>0</v>
      </c>
      <c r="L116">
        <v>5000</v>
      </c>
      <c r="M116">
        <v>0</v>
      </c>
      <c r="N116">
        <v>950076</v>
      </c>
      <c r="O116" s="1">
        <v>41383</v>
      </c>
      <c r="P116">
        <v>10</v>
      </c>
      <c r="Q116" t="str">
        <f>"78AS78   "</f>
        <v xml:space="preserve">78AS78   </v>
      </c>
    </row>
    <row r="117" spans="1:17" x14ac:dyDescent="0.25">
      <c r="A117" t="str">
        <f t="shared" si="3"/>
        <v>19180</v>
      </c>
      <c r="B117">
        <v>953049</v>
      </c>
      <c r="C117" s="1">
        <v>41362</v>
      </c>
      <c r="D117" t="str">
        <f>"0016938600031       "</f>
        <v xml:space="preserve">0016938600031       </v>
      </c>
      <c r="E117">
        <v>14</v>
      </c>
      <c r="F117">
        <v>10</v>
      </c>
      <c r="G117" t="s">
        <v>82</v>
      </c>
      <c r="H117" t="str">
        <f>"APCO LINER TRASH CAN 24 "</f>
        <v xml:space="preserve">APCO LINER TRASH CAN 24 </v>
      </c>
      <c r="I117">
        <v>10000</v>
      </c>
      <c r="J117">
        <v>0</v>
      </c>
      <c r="K117">
        <v>0</v>
      </c>
      <c r="L117">
        <v>10000</v>
      </c>
      <c r="M117">
        <v>0</v>
      </c>
      <c r="N117">
        <v>953523</v>
      </c>
      <c r="O117" s="1">
        <v>41383</v>
      </c>
      <c r="P117">
        <v>10</v>
      </c>
      <c r="Q117" t="str">
        <f>"78AS78   "</f>
        <v xml:space="preserve">78AS78   </v>
      </c>
    </row>
    <row r="118" spans="1:17" x14ac:dyDescent="0.25">
      <c r="A118" t="str">
        <f t="shared" si="3"/>
        <v>19180</v>
      </c>
      <c r="B118">
        <v>960100</v>
      </c>
      <c r="C118" s="1">
        <v>41365</v>
      </c>
      <c r="D118" t="str">
        <f>"00170475            "</f>
        <v xml:space="preserve">00170475            </v>
      </c>
      <c r="E118">
        <v>14</v>
      </c>
      <c r="F118">
        <v>10</v>
      </c>
      <c r="G118" t="s">
        <v>83</v>
      </c>
      <c r="H118" t="str">
        <f>"C-H IQDP4130 IQ DP-4000 "</f>
        <v xml:space="preserve">C-H IQDP4130 IQ DP-4000 </v>
      </c>
      <c r="I118">
        <v>1</v>
      </c>
      <c r="J118">
        <v>0</v>
      </c>
      <c r="K118">
        <v>0</v>
      </c>
      <c r="L118">
        <v>1</v>
      </c>
      <c r="M118">
        <v>0</v>
      </c>
      <c r="N118">
        <v>960198</v>
      </c>
      <c r="O118" s="1">
        <v>41379</v>
      </c>
      <c r="P118">
        <v>20</v>
      </c>
      <c r="Q118" t="str">
        <f>"782113   "</f>
        <v xml:space="preserve">782113   </v>
      </c>
    </row>
    <row r="119" spans="1:17" x14ac:dyDescent="0.25">
      <c r="A119" t="str">
        <f t="shared" si="3"/>
        <v>19180</v>
      </c>
      <c r="B119">
        <v>960100</v>
      </c>
      <c r="C119" s="1">
        <v>41365</v>
      </c>
      <c r="D119" t="str">
        <f>"00170475            "</f>
        <v xml:space="preserve">00170475            </v>
      </c>
      <c r="E119">
        <v>14</v>
      </c>
      <c r="F119">
        <v>20</v>
      </c>
      <c r="G119" t="s">
        <v>84</v>
      </c>
      <c r="H119" t="str">
        <f>"C-H D26MR62A D26 TYPE M "</f>
        <v xml:space="preserve">C-H D26MR62A D26 TYPE M </v>
      </c>
      <c r="I119">
        <v>3</v>
      </c>
      <c r="J119">
        <v>0</v>
      </c>
      <c r="K119">
        <v>0</v>
      </c>
      <c r="L119">
        <v>3</v>
      </c>
      <c r="M119">
        <v>0</v>
      </c>
      <c r="N119">
        <v>960198</v>
      </c>
      <c r="O119" s="1">
        <v>41460</v>
      </c>
      <c r="P119">
        <v>10</v>
      </c>
      <c r="Q119" t="str">
        <f>"782113   "</f>
        <v xml:space="preserve">782113   </v>
      </c>
    </row>
    <row r="120" spans="1:17" x14ac:dyDescent="0.25">
      <c r="A120" t="str">
        <f t="shared" si="3"/>
        <v>19180</v>
      </c>
      <c r="B120">
        <v>967015</v>
      </c>
      <c r="C120" s="1">
        <v>41367</v>
      </c>
      <c r="D120" t="str">
        <f>"00170571            "</f>
        <v xml:space="preserve">00170571            </v>
      </c>
      <c r="E120">
        <v>14</v>
      </c>
      <c r="F120">
        <v>10</v>
      </c>
      <c r="G120" t="s">
        <v>24</v>
      </c>
      <c r="H120" t="str">
        <f>"IND*32LT900611**CARRIER "</f>
        <v xml:space="preserve">IND*32LT900611**CARRIER </v>
      </c>
      <c r="I120">
        <v>1</v>
      </c>
      <c r="J120">
        <v>0</v>
      </c>
      <c r="K120">
        <v>0</v>
      </c>
      <c r="L120">
        <v>1</v>
      </c>
      <c r="M120">
        <v>0</v>
      </c>
      <c r="N120">
        <v>967899</v>
      </c>
      <c r="O120" t="s">
        <v>25</v>
      </c>
      <c r="P120">
        <v>10</v>
      </c>
      <c r="Q120" t="str">
        <f>"78C399   "</f>
        <v xml:space="preserve">78C399   </v>
      </c>
    </row>
    <row r="121" spans="1:17" x14ac:dyDescent="0.25">
      <c r="A121" t="str">
        <f t="shared" si="3"/>
        <v>19180</v>
      </c>
      <c r="B121">
        <v>970608</v>
      </c>
      <c r="C121" s="1">
        <v>41368</v>
      </c>
      <c r="D121" t="str">
        <f>"0016938600037       "</f>
        <v xml:space="preserve">0016938600037       </v>
      </c>
      <c r="E121">
        <v>14</v>
      </c>
      <c r="F121">
        <v>60</v>
      </c>
      <c r="G121" t="s">
        <v>85</v>
      </c>
      <c r="H121" t="str">
        <f>"IDEAL 31-291 GAL PULLING"</f>
        <v>IDEAL 31-291 GAL PULLING</v>
      </c>
      <c r="I121">
        <v>6</v>
      </c>
      <c r="J121">
        <v>0</v>
      </c>
      <c r="K121">
        <v>0</v>
      </c>
      <c r="L121">
        <v>1</v>
      </c>
      <c r="M121">
        <v>5</v>
      </c>
      <c r="N121">
        <v>971755</v>
      </c>
      <c r="O121" s="1">
        <v>41372</v>
      </c>
      <c r="P121">
        <v>130</v>
      </c>
      <c r="Q121" t="str">
        <f>"XX7302   "</f>
        <v xml:space="preserve">XX7302   </v>
      </c>
    </row>
    <row r="122" spans="1:17" x14ac:dyDescent="0.25">
      <c r="A122" t="str">
        <f t="shared" si="3"/>
        <v>19180</v>
      </c>
      <c r="B122">
        <v>972356</v>
      </c>
      <c r="C122" s="1">
        <v>41368</v>
      </c>
      <c r="D122" t="str">
        <f>"00170655            "</f>
        <v xml:space="preserve">00170655            </v>
      </c>
      <c r="E122">
        <v>14</v>
      </c>
      <c r="F122">
        <v>10</v>
      </c>
      <c r="G122" t="s">
        <v>24</v>
      </c>
      <c r="H122" t="str">
        <f>"IND***CHICOPEE 8050 SWEE"</f>
        <v>IND***CHICOPEE 8050 SWEE</v>
      </c>
      <c r="I122">
        <v>60</v>
      </c>
      <c r="J122">
        <v>0</v>
      </c>
      <c r="K122">
        <v>0</v>
      </c>
      <c r="L122">
        <v>60</v>
      </c>
      <c r="M122">
        <v>0</v>
      </c>
      <c r="N122">
        <v>975280</v>
      </c>
      <c r="O122" s="1">
        <v>41376</v>
      </c>
      <c r="P122">
        <v>10</v>
      </c>
      <c r="Q122" t="str">
        <f>"78SM40   "</f>
        <v xml:space="preserve">78SM40   </v>
      </c>
    </row>
    <row r="123" spans="1:17" x14ac:dyDescent="0.25">
      <c r="A123" t="str">
        <f t="shared" si="3"/>
        <v>19180</v>
      </c>
      <c r="B123">
        <v>972356</v>
      </c>
      <c r="C123" s="1">
        <v>41368</v>
      </c>
      <c r="D123" t="str">
        <f>"00170655            "</f>
        <v xml:space="preserve">00170655            </v>
      </c>
      <c r="E123">
        <v>14</v>
      </c>
      <c r="F123">
        <v>20</v>
      </c>
      <c r="G123" t="s">
        <v>24</v>
      </c>
      <c r="H123" t="str">
        <f>"IND***RENATA COMP-33N-RE"</f>
        <v>IND***RENATA COMP-33N-RE</v>
      </c>
      <c r="I123">
        <v>360</v>
      </c>
      <c r="J123">
        <v>0</v>
      </c>
      <c r="K123">
        <v>0</v>
      </c>
      <c r="L123">
        <v>330</v>
      </c>
      <c r="M123">
        <v>30</v>
      </c>
      <c r="N123">
        <v>975267</v>
      </c>
      <c r="O123" t="s">
        <v>25</v>
      </c>
      <c r="P123">
        <v>10</v>
      </c>
      <c r="Q123" t="str">
        <f>"78A160   "</f>
        <v xml:space="preserve">78A160   </v>
      </c>
    </row>
    <row r="124" spans="1:17" x14ac:dyDescent="0.25">
      <c r="A124" t="str">
        <f t="shared" si="3"/>
        <v>19180</v>
      </c>
      <c r="B124">
        <v>977653</v>
      </c>
      <c r="C124" s="1">
        <v>41372</v>
      </c>
      <c r="D124" t="str">
        <f>"0016938600040       "</f>
        <v xml:space="preserve">0016938600040       </v>
      </c>
      <c r="E124">
        <v>14</v>
      </c>
      <c r="F124">
        <v>30</v>
      </c>
      <c r="G124" t="s">
        <v>86</v>
      </c>
      <c r="H124" t="str">
        <f>"PYR S7510SJ GLASSES OTS "</f>
        <v xml:space="preserve">PYR S7510SJ GLASSES OTS </v>
      </c>
      <c r="I124">
        <v>168</v>
      </c>
      <c r="J124">
        <v>0</v>
      </c>
      <c r="K124">
        <v>0</v>
      </c>
      <c r="L124">
        <v>168</v>
      </c>
      <c r="M124">
        <v>0</v>
      </c>
      <c r="N124">
        <v>978848</v>
      </c>
      <c r="O124" t="s">
        <v>25</v>
      </c>
      <c r="P124">
        <v>10</v>
      </c>
      <c r="Q124" t="str">
        <f>"78PI17   "</f>
        <v xml:space="preserve">78PI17   </v>
      </c>
    </row>
    <row r="125" spans="1:17" x14ac:dyDescent="0.25">
      <c r="A125" t="str">
        <f t="shared" si="3"/>
        <v>19180</v>
      </c>
      <c r="B125">
        <v>979038</v>
      </c>
      <c r="C125" s="1">
        <v>41372</v>
      </c>
      <c r="D125" t="str">
        <f>"00170719            "</f>
        <v xml:space="preserve">00170719            </v>
      </c>
      <c r="E125">
        <v>14</v>
      </c>
      <c r="F125">
        <v>10</v>
      </c>
      <c r="G125" t="s">
        <v>24</v>
      </c>
      <c r="H125" t="str">
        <f>"IND***1JA89 ROD COUPLING"</f>
        <v>IND***1JA89 ROD COUPLING</v>
      </c>
      <c r="I125">
        <v>8</v>
      </c>
      <c r="J125">
        <v>0</v>
      </c>
      <c r="K125">
        <v>0</v>
      </c>
      <c r="L125">
        <v>2</v>
      </c>
      <c r="M125">
        <v>6</v>
      </c>
      <c r="N125">
        <v>983107</v>
      </c>
      <c r="O125" s="1">
        <v>41380</v>
      </c>
      <c r="P125">
        <v>10</v>
      </c>
      <c r="Q125" t="str">
        <f>"78G603   "</f>
        <v xml:space="preserve">78G603   </v>
      </c>
    </row>
    <row r="126" spans="1:17" x14ac:dyDescent="0.25">
      <c r="A126" t="str">
        <f t="shared" si="3"/>
        <v>19180</v>
      </c>
      <c r="B126">
        <v>979038</v>
      </c>
      <c r="C126" s="1">
        <v>41372</v>
      </c>
      <c r="D126" t="str">
        <f>"00170719            "</f>
        <v xml:space="preserve">00170719            </v>
      </c>
      <c r="E126">
        <v>14</v>
      </c>
      <c r="F126">
        <v>20</v>
      </c>
      <c r="G126" t="s">
        <v>24</v>
      </c>
      <c r="H126" t="str">
        <f>"IND***2GUC7 REBAR CAP   "</f>
        <v xml:space="preserve">IND***2GUC7 REBAR CAP   </v>
      </c>
      <c r="I126">
        <v>200</v>
      </c>
      <c r="J126">
        <v>0</v>
      </c>
      <c r="K126">
        <v>0</v>
      </c>
      <c r="L126">
        <v>124</v>
      </c>
      <c r="M126">
        <v>76</v>
      </c>
      <c r="N126">
        <v>983107</v>
      </c>
      <c r="O126" s="1">
        <v>41380</v>
      </c>
      <c r="P126">
        <v>20</v>
      </c>
      <c r="Q126" t="str">
        <f>"78G603   "</f>
        <v xml:space="preserve">78G603   </v>
      </c>
    </row>
    <row r="127" spans="1:17" x14ac:dyDescent="0.25">
      <c r="A127" t="str">
        <f t="shared" si="3"/>
        <v>19180</v>
      </c>
      <c r="B127">
        <v>982315</v>
      </c>
      <c r="C127" s="1">
        <v>41373</v>
      </c>
      <c r="D127" t="str">
        <f>"00170743            "</f>
        <v xml:space="preserve">00170743            </v>
      </c>
      <c r="E127">
        <v>14</v>
      </c>
      <c r="F127">
        <v>10</v>
      </c>
      <c r="G127" t="s">
        <v>87</v>
      </c>
      <c r="H127" t="str">
        <f>"WIRE THHN-12-WHT-19STR-C"</f>
        <v>WIRE THHN-12-WHT-19STR-C</v>
      </c>
      <c r="I127">
        <v>1000</v>
      </c>
      <c r="J127">
        <v>0</v>
      </c>
      <c r="K127">
        <v>0</v>
      </c>
      <c r="L127">
        <v>1000</v>
      </c>
      <c r="M127">
        <v>0</v>
      </c>
      <c r="N127" t="s">
        <v>23</v>
      </c>
      <c r="O127" t="s">
        <v>25</v>
      </c>
      <c r="P127" t="s">
        <v>26</v>
      </c>
      <c r="Q127" t="str">
        <f>"         "</f>
        <v xml:space="preserve">         </v>
      </c>
    </row>
    <row r="128" spans="1:17" x14ac:dyDescent="0.25">
      <c r="A128" t="str">
        <f t="shared" si="3"/>
        <v>19180</v>
      </c>
      <c r="B128">
        <v>982315</v>
      </c>
      <c r="C128" s="1">
        <v>41373</v>
      </c>
      <c r="D128" t="str">
        <f>"00170743            "</f>
        <v xml:space="preserve">00170743            </v>
      </c>
      <c r="E128">
        <v>14</v>
      </c>
      <c r="F128">
        <v>30</v>
      </c>
      <c r="G128" t="s">
        <v>88</v>
      </c>
      <c r="H128" t="str">
        <f>"PLC PMCL-19ARM 19IN MNTR"</f>
        <v>PLC PMCL-19ARM 19IN MNTR</v>
      </c>
      <c r="I128">
        <v>1</v>
      </c>
      <c r="J128">
        <v>0</v>
      </c>
      <c r="K128">
        <v>0</v>
      </c>
      <c r="L128">
        <v>1</v>
      </c>
      <c r="M128">
        <v>0</v>
      </c>
      <c r="N128">
        <v>983103</v>
      </c>
      <c r="O128" s="1">
        <v>41380</v>
      </c>
      <c r="P128">
        <v>10</v>
      </c>
      <c r="Q128" t="str">
        <f>"78CF14   "</f>
        <v xml:space="preserve">78CF14   </v>
      </c>
    </row>
    <row r="129" spans="1:17" x14ac:dyDescent="0.25">
      <c r="A129" t="str">
        <f t="shared" si="3"/>
        <v>19180</v>
      </c>
      <c r="B129">
        <v>982840</v>
      </c>
      <c r="C129" s="1">
        <v>41373</v>
      </c>
      <c r="D129" t="str">
        <f>"00170788            "</f>
        <v xml:space="preserve">00170788            </v>
      </c>
      <c r="E129">
        <v>14</v>
      </c>
      <c r="F129">
        <v>10</v>
      </c>
      <c r="G129" t="s">
        <v>101</v>
      </c>
      <c r="H129" t="str">
        <f>"G-P 19378 CORELESS 2 PLY"</f>
        <v>G-P 19378 CORELESS 2 PLY</v>
      </c>
      <c r="I129">
        <v>240</v>
      </c>
      <c r="J129">
        <v>0</v>
      </c>
      <c r="K129">
        <v>0</v>
      </c>
      <c r="L129">
        <v>240</v>
      </c>
      <c r="M129">
        <v>0</v>
      </c>
      <c r="N129">
        <v>982995</v>
      </c>
      <c r="O129" s="1">
        <v>41380</v>
      </c>
      <c r="P129">
        <v>100</v>
      </c>
      <c r="Q129" t="str">
        <f>"78SM40   "</f>
        <v xml:space="preserve">78SM40   </v>
      </c>
    </row>
    <row r="130" spans="1:17" x14ac:dyDescent="0.25">
      <c r="A130" t="str">
        <f t="shared" si="3"/>
        <v>19180</v>
      </c>
      <c r="B130">
        <v>985311</v>
      </c>
      <c r="C130" s="1">
        <v>41374</v>
      </c>
      <c r="D130" t="str">
        <f>"0016938600042       "</f>
        <v xml:space="preserve">0016938600042       </v>
      </c>
      <c r="E130">
        <v>14</v>
      </c>
      <c r="F130">
        <v>10</v>
      </c>
      <c r="G130" t="s">
        <v>102</v>
      </c>
      <c r="H130" t="str">
        <f>"IND DRC90139 WINDEX BOTT"</f>
        <v>IND DRC90139 WINDEX BOTT</v>
      </c>
      <c r="I130">
        <v>444</v>
      </c>
      <c r="J130">
        <v>0</v>
      </c>
      <c r="K130">
        <v>0</v>
      </c>
      <c r="L130">
        <v>252</v>
      </c>
      <c r="M130">
        <v>192</v>
      </c>
      <c r="N130">
        <v>985824</v>
      </c>
      <c r="O130" t="s">
        <v>25</v>
      </c>
      <c r="P130">
        <v>100</v>
      </c>
      <c r="Q130" t="str">
        <f>"78SM40   "</f>
        <v xml:space="preserve">78SM40   </v>
      </c>
    </row>
    <row r="131" spans="1:17" x14ac:dyDescent="0.25">
      <c r="A131" t="str">
        <f t="shared" si="3"/>
        <v>19180</v>
      </c>
      <c r="B131">
        <v>985767</v>
      </c>
      <c r="C131" s="1">
        <v>41374</v>
      </c>
      <c r="D131" t="str">
        <f>"00170834            "</f>
        <v xml:space="preserve">00170834            </v>
      </c>
      <c r="E131">
        <v>14</v>
      </c>
      <c r="F131">
        <v>10</v>
      </c>
      <c r="G131" t="s">
        <v>103</v>
      </c>
      <c r="H131" t="str">
        <f>"FLK LVD1 VOLT LIGHT     "</f>
        <v xml:space="preserve">FLK LVD1 VOLT LIGHT     </v>
      </c>
      <c r="I131">
        <v>12</v>
      </c>
      <c r="J131">
        <v>0</v>
      </c>
      <c r="K131">
        <v>0</v>
      </c>
      <c r="L131">
        <v>12</v>
      </c>
      <c r="M131">
        <v>0</v>
      </c>
      <c r="N131">
        <v>986675</v>
      </c>
      <c r="O131" t="s">
        <v>25</v>
      </c>
      <c r="P131">
        <v>20</v>
      </c>
      <c r="Q131" t="str">
        <f>"XX7302   "</f>
        <v xml:space="preserve">XX7302   </v>
      </c>
    </row>
    <row r="132" spans="1:17" x14ac:dyDescent="0.25">
      <c r="A132" t="str">
        <f t="shared" si="3"/>
        <v>19180</v>
      </c>
      <c r="B132">
        <v>986835</v>
      </c>
      <c r="C132" s="1">
        <v>41374</v>
      </c>
      <c r="D132" t="str">
        <f>"00170871            "</f>
        <v xml:space="preserve">00170871            </v>
      </c>
      <c r="E132">
        <v>14</v>
      </c>
      <c r="F132">
        <v>10</v>
      </c>
      <c r="G132" t="s">
        <v>24</v>
      </c>
      <c r="H132" t="str">
        <f>"IND***507-3917-0371-600 "</f>
        <v xml:space="preserve">IND***507-3917-0371-600 </v>
      </c>
      <c r="I132">
        <v>24</v>
      </c>
      <c r="J132">
        <v>0</v>
      </c>
      <c r="K132">
        <v>0</v>
      </c>
      <c r="L132">
        <v>24</v>
      </c>
      <c r="M132">
        <v>0</v>
      </c>
      <c r="N132" t="s">
        <v>23</v>
      </c>
      <c r="O132" t="s">
        <v>25</v>
      </c>
      <c r="P132" t="s">
        <v>26</v>
      </c>
      <c r="Q132" t="str">
        <f>"         "</f>
        <v xml:space="preserve">         </v>
      </c>
    </row>
    <row r="133" spans="1:17" x14ac:dyDescent="0.25">
      <c r="A133" t="str">
        <f>"19679"</f>
        <v>19679</v>
      </c>
      <c r="B133">
        <v>862447</v>
      </c>
      <c r="C133" s="1">
        <v>41332</v>
      </c>
      <c r="D133" t="str">
        <f>"CATHODIC 1.7-0208566"</f>
        <v>CATHODIC 1.7-0208566</v>
      </c>
      <c r="E133">
        <v>14</v>
      </c>
      <c r="F133">
        <v>160</v>
      </c>
      <c r="G133" t="s">
        <v>89</v>
      </c>
      <c r="H133" t="str">
        <f>"UNISTR P1038EG 3H ANGLE "</f>
        <v xml:space="preserve">UNISTR P1038EG 3H ANGLE </v>
      </c>
      <c r="I133">
        <v>100</v>
      </c>
      <c r="J133">
        <v>0</v>
      </c>
      <c r="K133">
        <v>0</v>
      </c>
      <c r="L133">
        <v>100</v>
      </c>
      <c r="M133">
        <v>0</v>
      </c>
      <c r="N133">
        <v>865383</v>
      </c>
      <c r="O133" t="s">
        <v>25</v>
      </c>
      <c r="P133">
        <v>10</v>
      </c>
      <c r="Q133" t="str">
        <f>"786364   "</f>
        <v xml:space="preserve">786364   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7"/>
  <sheetViews>
    <sheetView workbookViewId="0"/>
  </sheetViews>
  <sheetFormatPr defaultRowHeight="15" x14ac:dyDescent="0.25"/>
  <cols>
    <col min="1" max="1" width="10.7109375" bestFit="1" customWidth="1"/>
    <col min="2" max="2" width="10.28515625" bestFit="1" customWidth="1"/>
    <col min="3" max="3" width="12" bestFit="1" customWidth="1"/>
    <col min="4" max="4" width="24.7109375" bestFit="1" customWidth="1"/>
    <col min="5" max="5" width="3" bestFit="1" customWidth="1"/>
    <col min="6" max="6" width="8.140625" bestFit="1" customWidth="1"/>
    <col min="7" max="7" width="14.42578125" bestFit="1" customWidth="1"/>
    <col min="8" max="8" width="27.28515625" bestFit="1" customWidth="1"/>
    <col min="9" max="9" width="10.85546875" bestFit="1" customWidth="1"/>
    <col min="10" max="10" width="14.5703125" bestFit="1" customWidth="1"/>
    <col min="11" max="11" width="11.7109375" bestFit="1" customWidth="1"/>
    <col min="12" max="12" width="7.42578125" bestFit="1" customWidth="1"/>
    <col min="13" max="13" width="12.28515625" bestFit="1" customWidth="1"/>
    <col min="14" max="14" width="11.7109375" bestFit="1" customWidth="1"/>
    <col min="15" max="15" width="14.140625" bestFit="1" customWidth="1"/>
    <col min="16" max="16" width="12.7109375" bestFit="1" customWidth="1"/>
    <col min="17" max="17" width="14.140625" bestFit="1" customWidth="1"/>
  </cols>
  <sheetData>
    <row r="1" spans="1:1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</row>
    <row r="2" spans="1:17" x14ac:dyDescent="0.25">
      <c r="A2" t="str">
        <f t="shared" ref="A2:A10" si="0">"19170"</f>
        <v>19170</v>
      </c>
      <c r="B2">
        <v>556292</v>
      </c>
      <c r="C2" s="1">
        <v>41212</v>
      </c>
      <c r="D2" t="str">
        <f>"00165166            "</f>
        <v xml:space="preserve">00165166            </v>
      </c>
      <c r="E2">
        <v>14</v>
      </c>
      <c r="F2">
        <v>73</v>
      </c>
      <c r="G2" t="s">
        <v>24</v>
      </c>
      <c r="H2" t="str">
        <f>"IND***HP 10842 G2 CABINE"</f>
        <v>IND***HP 10842 G2 CABINE</v>
      </c>
      <c r="I2">
        <v>1</v>
      </c>
      <c r="J2">
        <v>0</v>
      </c>
      <c r="K2">
        <v>1</v>
      </c>
      <c r="L2">
        <v>0</v>
      </c>
      <c r="M2">
        <v>0</v>
      </c>
      <c r="N2" t="s">
        <v>23</v>
      </c>
      <c r="O2" t="s">
        <v>25</v>
      </c>
      <c r="P2" t="s">
        <v>26</v>
      </c>
      <c r="Q2" t="s">
        <v>27</v>
      </c>
    </row>
    <row r="3" spans="1:17" x14ac:dyDescent="0.25">
      <c r="A3" t="str">
        <f t="shared" si="0"/>
        <v>19170</v>
      </c>
      <c r="B3">
        <v>694040</v>
      </c>
      <c r="C3" s="1">
        <v>41261</v>
      </c>
      <c r="D3" t="str">
        <f>"00166969            "</f>
        <v xml:space="preserve">00166969            </v>
      </c>
      <c r="E3">
        <v>14</v>
      </c>
      <c r="F3">
        <v>38</v>
      </c>
      <c r="G3" t="s">
        <v>24</v>
      </c>
      <c r="H3" t="str">
        <f>"IND***6  PVC SCH40 CONDU"</f>
        <v>IND***6  PVC SCH40 CONDU</v>
      </c>
      <c r="I3">
        <v>600</v>
      </c>
      <c r="J3">
        <v>0</v>
      </c>
      <c r="K3">
        <v>340</v>
      </c>
      <c r="L3">
        <v>0</v>
      </c>
      <c r="M3">
        <v>260</v>
      </c>
      <c r="N3">
        <v>694057</v>
      </c>
      <c r="O3" t="s">
        <v>25</v>
      </c>
      <c r="P3">
        <v>10</v>
      </c>
      <c r="Q3" t="str">
        <f>"78P500   "</f>
        <v xml:space="preserve">78P500   </v>
      </c>
    </row>
    <row r="4" spans="1:17" x14ac:dyDescent="0.25">
      <c r="A4" t="str">
        <f t="shared" si="0"/>
        <v>19170</v>
      </c>
      <c r="B4">
        <v>971860</v>
      </c>
      <c r="C4" s="1">
        <v>41368</v>
      </c>
      <c r="D4" t="str">
        <f>"00170648            "</f>
        <v xml:space="preserve">00170648            </v>
      </c>
      <c r="E4">
        <v>14</v>
      </c>
      <c r="F4">
        <v>10</v>
      </c>
      <c r="G4" t="s">
        <v>24</v>
      </c>
      <c r="H4" t="str">
        <f>"IND***MS3106F28-16P AMPH"</f>
        <v>IND***MS3106F28-16P AMPH</v>
      </c>
      <c r="I4">
        <v>45</v>
      </c>
      <c r="J4">
        <v>0</v>
      </c>
      <c r="K4">
        <v>45</v>
      </c>
      <c r="L4">
        <v>0</v>
      </c>
      <c r="M4">
        <v>0</v>
      </c>
      <c r="N4">
        <v>971999</v>
      </c>
      <c r="O4" s="1">
        <v>41382</v>
      </c>
      <c r="P4">
        <v>10</v>
      </c>
      <c r="Q4" t="str">
        <f>"78A160   "</f>
        <v xml:space="preserve">78A160   </v>
      </c>
    </row>
    <row r="5" spans="1:17" x14ac:dyDescent="0.25">
      <c r="A5" t="str">
        <f t="shared" si="0"/>
        <v>19170</v>
      </c>
      <c r="B5">
        <v>971961</v>
      </c>
      <c r="C5" s="1">
        <v>41368</v>
      </c>
      <c r="D5" t="str">
        <f>"00170650            "</f>
        <v xml:space="preserve">00170650            </v>
      </c>
      <c r="E5">
        <v>14</v>
      </c>
      <c r="F5">
        <v>10</v>
      </c>
      <c r="G5" t="s">
        <v>24</v>
      </c>
      <c r="H5" t="str">
        <f>"IND***10-329392-28 AMPHE"</f>
        <v>IND***10-329392-28 AMPHE</v>
      </c>
      <c r="I5">
        <v>48</v>
      </c>
      <c r="J5">
        <v>0</v>
      </c>
      <c r="K5">
        <v>48</v>
      </c>
      <c r="L5">
        <v>0</v>
      </c>
      <c r="M5">
        <v>0</v>
      </c>
      <c r="N5">
        <v>972000</v>
      </c>
      <c r="O5" s="1">
        <v>41387</v>
      </c>
      <c r="P5">
        <v>10</v>
      </c>
      <c r="Q5" t="str">
        <f>"78A160   "</f>
        <v xml:space="preserve">78A160   </v>
      </c>
    </row>
    <row r="6" spans="1:17" x14ac:dyDescent="0.25">
      <c r="A6" t="str">
        <f t="shared" si="0"/>
        <v>19170</v>
      </c>
      <c r="B6">
        <v>971961</v>
      </c>
      <c r="C6" s="1">
        <v>41368</v>
      </c>
      <c r="D6" t="str">
        <f>"00170650            "</f>
        <v xml:space="preserve">00170650            </v>
      </c>
      <c r="E6">
        <v>14</v>
      </c>
      <c r="F6">
        <v>20</v>
      </c>
      <c r="G6" t="s">
        <v>24</v>
      </c>
      <c r="H6" t="str">
        <f>"IND***10-329391-28 AMPHE"</f>
        <v>IND***10-329391-28 AMPHE</v>
      </c>
      <c r="I6">
        <v>48</v>
      </c>
      <c r="J6">
        <v>0</v>
      </c>
      <c r="K6">
        <v>48</v>
      </c>
      <c r="L6">
        <v>0</v>
      </c>
      <c r="M6">
        <v>0</v>
      </c>
      <c r="N6">
        <v>972000</v>
      </c>
      <c r="O6" s="1">
        <v>41387</v>
      </c>
      <c r="P6">
        <v>20</v>
      </c>
      <c r="Q6" t="str">
        <f>"78A160   "</f>
        <v xml:space="preserve">78A160   </v>
      </c>
    </row>
    <row r="7" spans="1:17" x14ac:dyDescent="0.25">
      <c r="A7" t="str">
        <f t="shared" si="0"/>
        <v>19170</v>
      </c>
      <c r="B7">
        <v>971961</v>
      </c>
      <c r="C7" s="1">
        <v>41368</v>
      </c>
      <c r="D7" t="str">
        <f>"00170650            "</f>
        <v xml:space="preserve">00170650            </v>
      </c>
      <c r="E7">
        <v>14</v>
      </c>
      <c r="F7">
        <v>30</v>
      </c>
      <c r="G7" t="s">
        <v>24</v>
      </c>
      <c r="H7" t="str">
        <f>"IND***10-40450-28 AMPHEN"</f>
        <v>IND***10-40450-28 AMPHEN</v>
      </c>
      <c r="I7">
        <v>48</v>
      </c>
      <c r="J7">
        <v>0</v>
      </c>
      <c r="K7">
        <v>48</v>
      </c>
      <c r="L7">
        <v>0</v>
      </c>
      <c r="M7">
        <v>0</v>
      </c>
      <c r="N7">
        <v>972000</v>
      </c>
      <c r="O7" s="1">
        <v>41387</v>
      </c>
      <c r="P7">
        <v>30</v>
      </c>
      <c r="Q7" t="str">
        <f>"78A160   "</f>
        <v xml:space="preserve">78A160   </v>
      </c>
    </row>
    <row r="8" spans="1:17" x14ac:dyDescent="0.25">
      <c r="A8" t="str">
        <f t="shared" si="0"/>
        <v>19170</v>
      </c>
      <c r="B8">
        <v>975410</v>
      </c>
      <c r="C8" s="1">
        <v>41369</v>
      </c>
      <c r="D8" t="str">
        <f>"00170682            "</f>
        <v xml:space="preserve">00170682            </v>
      </c>
      <c r="E8">
        <v>14</v>
      </c>
      <c r="F8">
        <v>10</v>
      </c>
      <c r="G8" t="s">
        <v>24</v>
      </c>
      <c r="H8" t="str">
        <f>"IND***8000122 TRANSFER L"</f>
        <v>IND***8000122 TRANSFER L</v>
      </c>
      <c r="I8">
        <v>3</v>
      </c>
      <c r="J8">
        <v>0</v>
      </c>
      <c r="K8">
        <v>3</v>
      </c>
      <c r="L8">
        <v>0</v>
      </c>
      <c r="M8">
        <v>0</v>
      </c>
      <c r="N8">
        <v>975414</v>
      </c>
      <c r="O8" s="1">
        <v>41376</v>
      </c>
      <c r="P8">
        <v>10</v>
      </c>
      <c r="Q8" t="str">
        <f>"78ID29   "</f>
        <v xml:space="preserve">78ID29   </v>
      </c>
    </row>
    <row r="9" spans="1:17" x14ac:dyDescent="0.25">
      <c r="A9" t="str">
        <f t="shared" si="0"/>
        <v>19170</v>
      </c>
      <c r="B9">
        <v>975410</v>
      </c>
      <c r="C9" s="1">
        <v>41369</v>
      </c>
      <c r="D9" t="str">
        <f>"00170682            "</f>
        <v xml:space="preserve">00170682            </v>
      </c>
      <c r="E9">
        <v>14</v>
      </c>
      <c r="F9">
        <v>22</v>
      </c>
      <c r="G9" t="s">
        <v>24</v>
      </c>
      <c r="H9" t="str">
        <f>"IND***10-40557 AMPHENOL "</f>
        <v xml:space="preserve">IND***10-40557 AMPHENOL </v>
      </c>
      <c r="I9">
        <v>1000</v>
      </c>
      <c r="J9">
        <v>0</v>
      </c>
      <c r="K9">
        <v>1000</v>
      </c>
      <c r="L9">
        <v>0</v>
      </c>
      <c r="M9">
        <v>0</v>
      </c>
      <c r="N9">
        <v>975413</v>
      </c>
      <c r="O9" t="s">
        <v>25</v>
      </c>
      <c r="P9">
        <v>10</v>
      </c>
      <c r="Q9" t="str">
        <f>"78A160   "</f>
        <v xml:space="preserve">78A160   </v>
      </c>
    </row>
    <row r="10" spans="1:17" x14ac:dyDescent="0.25">
      <c r="A10" t="str">
        <f t="shared" si="0"/>
        <v>19170</v>
      </c>
      <c r="B10">
        <v>975410</v>
      </c>
      <c r="C10" s="1">
        <v>41369</v>
      </c>
      <c r="D10" t="str">
        <f>"00170682            "</f>
        <v xml:space="preserve">00170682            </v>
      </c>
      <c r="E10">
        <v>14</v>
      </c>
      <c r="F10">
        <v>35</v>
      </c>
      <c r="G10" t="s">
        <v>24</v>
      </c>
      <c r="H10" t="str">
        <f>"IND***899722 NACECARE WV"</f>
        <v>IND***899722 NACECARE WV</v>
      </c>
      <c r="I10">
        <v>2</v>
      </c>
      <c r="J10">
        <v>0</v>
      </c>
      <c r="K10">
        <v>2</v>
      </c>
      <c r="L10">
        <v>0</v>
      </c>
      <c r="M10">
        <v>0</v>
      </c>
      <c r="N10">
        <v>975414</v>
      </c>
      <c r="O10" s="1">
        <v>41376</v>
      </c>
      <c r="P10">
        <v>40</v>
      </c>
      <c r="Q10" t="str">
        <f>"78ID29   "</f>
        <v xml:space="preserve">78ID29   </v>
      </c>
    </row>
    <row r="11" spans="1:17" x14ac:dyDescent="0.25">
      <c r="A11" t="str">
        <f t="shared" ref="A11:A26" si="1">"19175"</f>
        <v>19175</v>
      </c>
      <c r="B11">
        <v>345554</v>
      </c>
      <c r="C11" s="1">
        <v>41143</v>
      </c>
      <c r="D11" t="str">
        <f>"00162577            "</f>
        <v xml:space="preserve">00162577            </v>
      </c>
      <c r="E11">
        <v>14</v>
      </c>
      <c r="F11">
        <v>30</v>
      </c>
      <c r="G11" t="s">
        <v>24</v>
      </c>
      <c r="H11" t="str">
        <f>"IND***397573 STORAGE BAG"</f>
        <v>IND***397573 STORAGE BAG</v>
      </c>
      <c r="I11">
        <v>50</v>
      </c>
      <c r="J11">
        <v>0</v>
      </c>
      <c r="K11">
        <v>50</v>
      </c>
      <c r="L11">
        <v>0</v>
      </c>
      <c r="M11">
        <v>0</v>
      </c>
      <c r="N11" t="s">
        <v>23</v>
      </c>
      <c r="O11" t="s">
        <v>25</v>
      </c>
      <c r="P11" t="s">
        <v>26</v>
      </c>
      <c r="Q11" t="str">
        <f>"         "</f>
        <v xml:space="preserve">         </v>
      </c>
    </row>
    <row r="12" spans="1:17" x14ac:dyDescent="0.25">
      <c r="A12" t="str">
        <f t="shared" si="1"/>
        <v>19175</v>
      </c>
      <c r="B12">
        <v>487340</v>
      </c>
      <c r="C12" s="1">
        <v>41190</v>
      </c>
      <c r="D12" t="str">
        <f>"00164314            "</f>
        <v xml:space="preserve">00164314            </v>
      </c>
      <c r="E12">
        <v>14</v>
      </c>
      <c r="F12">
        <v>154</v>
      </c>
      <c r="G12" t="s">
        <v>24</v>
      </c>
      <c r="H12" t="str">
        <f>"IND***DOW Q4-2805 7.5 OZ"</f>
        <v>IND***DOW Q4-2805 7.5 OZ</v>
      </c>
      <c r="I12">
        <v>5</v>
      </c>
      <c r="J12">
        <v>0</v>
      </c>
      <c r="K12">
        <v>5</v>
      </c>
      <c r="L12">
        <v>0</v>
      </c>
      <c r="M12">
        <v>0</v>
      </c>
      <c r="N12">
        <v>497753</v>
      </c>
      <c r="O12" s="1">
        <v>41194</v>
      </c>
      <c r="P12">
        <v>10</v>
      </c>
      <c r="Q12" t="str">
        <f>"78B939   "</f>
        <v xml:space="preserve">78B939   </v>
      </c>
    </row>
    <row r="13" spans="1:17" x14ac:dyDescent="0.25">
      <c r="A13" t="str">
        <f t="shared" si="1"/>
        <v>19175</v>
      </c>
      <c r="B13">
        <v>507561</v>
      </c>
      <c r="C13" s="1">
        <v>41197</v>
      </c>
      <c r="D13" t="str">
        <f>"00164604            "</f>
        <v xml:space="preserve">00164604            </v>
      </c>
      <c r="E13">
        <v>14</v>
      </c>
      <c r="F13">
        <v>43</v>
      </c>
      <c r="G13" t="s">
        <v>24</v>
      </c>
      <c r="H13" t="str">
        <f>"IND***WHITMIRE CY-KICK C"</f>
        <v>IND***WHITMIRE CY-KICK C</v>
      </c>
      <c r="I13">
        <v>12</v>
      </c>
      <c r="J13">
        <v>0</v>
      </c>
      <c r="K13">
        <v>12</v>
      </c>
      <c r="L13">
        <v>0</v>
      </c>
      <c r="M13">
        <v>0</v>
      </c>
      <c r="N13">
        <v>507604</v>
      </c>
      <c r="O13" t="s">
        <v>25</v>
      </c>
      <c r="P13">
        <v>10</v>
      </c>
      <c r="Q13" t="str">
        <f>"78B939   "</f>
        <v xml:space="preserve">78B939   </v>
      </c>
    </row>
    <row r="14" spans="1:17" x14ac:dyDescent="0.25">
      <c r="A14" t="str">
        <f t="shared" si="1"/>
        <v>19175</v>
      </c>
      <c r="B14">
        <v>729326</v>
      </c>
      <c r="C14" s="1">
        <v>41282</v>
      </c>
      <c r="D14" t="str">
        <f>"00167351            "</f>
        <v xml:space="preserve">00167351            </v>
      </c>
      <c r="E14">
        <v>14</v>
      </c>
      <c r="F14">
        <v>33</v>
      </c>
      <c r="G14" t="s">
        <v>24</v>
      </c>
      <c r="H14" t="str">
        <f>"IND***057-0364-032 ITT C"</f>
        <v>IND***057-0364-032 ITT C</v>
      </c>
      <c r="I14">
        <v>50</v>
      </c>
      <c r="J14">
        <v>0</v>
      </c>
      <c r="K14">
        <v>50</v>
      </c>
      <c r="L14">
        <v>0</v>
      </c>
      <c r="M14">
        <v>0</v>
      </c>
      <c r="N14">
        <v>729371</v>
      </c>
      <c r="O14" s="1">
        <v>41379</v>
      </c>
      <c r="P14">
        <v>10</v>
      </c>
      <c r="Q14" t="str">
        <f>"78M681   "</f>
        <v xml:space="preserve">78M681   </v>
      </c>
    </row>
    <row r="15" spans="1:17" x14ac:dyDescent="0.25">
      <c r="A15" t="str">
        <f t="shared" si="1"/>
        <v>19175</v>
      </c>
      <c r="B15">
        <v>750180</v>
      </c>
      <c r="C15" s="1">
        <v>41290</v>
      </c>
      <c r="D15" t="str">
        <f>"00167642            "</f>
        <v xml:space="preserve">00167642            </v>
      </c>
      <c r="E15">
        <v>14</v>
      </c>
      <c r="F15">
        <v>10</v>
      </c>
      <c r="G15" t="s">
        <v>24</v>
      </c>
      <c r="H15" t="str">
        <f>"IND***3554-44-VBA-20M IT"</f>
        <v>IND***3554-44-VBA-20M IT</v>
      </c>
      <c r="I15">
        <v>40</v>
      </c>
      <c r="J15">
        <v>0</v>
      </c>
      <c r="K15">
        <v>40</v>
      </c>
      <c r="L15">
        <v>0</v>
      </c>
      <c r="M15">
        <v>0</v>
      </c>
      <c r="N15">
        <v>750202</v>
      </c>
      <c r="O15" s="1">
        <v>41297</v>
      </c>
      <c r="P15">
        <v>10</v>
      </c>
      <c r="Q15" t="str">
        <f>"78B939   "</f>
        <v xml:space="preserve">78B939   </v>
      </c>
    </row>
    <row r="16" spans="1:17" x14ac:dyDescent="0.25">
      <c r="A16" t="str">
        <f t="shared" si="1"/>
        <v>19175</v>
      </c>
      <c r="B16">
        <v>804760</v>
      </c>
      <c r="C16" s="1">
        <v>41310</v>
      </c>
      <c r="D16" t="str">
        <f>"GOODSON  JOEY       "</f>
        <v xml:space="preserve">GOODSON  JOEY       </v>
      </c>
      <c r="E16">
        <v>14</v>
      </c>
      <c r="F16">
        <v>10</v>
      </c>
      <c r="G16" t="s">
        <v>24</v>
      </c>
      <c r="H16" t="str">
        <f>"IND***E-DL-4FT-15-21-G-N"</f>
        <v>IND***E-DL-4FT-15-21-G-N</v>
      </c>
      <c r="I16">
        <v>4</v>
      </c>
      <c r="J16">
        <v>0</v>
      </c>
      <c r="K16">
        <v>4</v>
      </c>
      <c r="L16">
        <v>0</v>
      </c>
      <c r="M16">
        <v>0</v>
      </c>
      <c r="N16">
        <v>805381</v>
      </c>
      <c r="O16" s="1">
        <v>41348</v>
      </c>
      <c r="P16">
        <v>10</v>
      </c>
      <c r="Q16" t="str">
        <f>"78A255   "</f>
        <v xml:space="preserve">78A255   </v>
      </c>
    </row>
    <row r="17" spans="1:17" x14ac:dyDescent="0.25">
      <c r="A17" t="str">
        <f t="shared" si="1"/>
        <v>19175</v>
      </c>
      <c r="B17">
        <v>900014</v>
      </c>
      <c r="C17" s="1">
        <v>41344</v>
      </c>
      <c r="D17" t="str">
        <f>"00169658            "</f>
        <v xml:space="preserve">00169658            </v>
      </c>
      <c r="E17">
        <v>14</v>
      </c>
      <c r="F17">
        <v>10</v>
      </c>
      <c r="G17" t="s">
        <v>24</v>
      </c>
      <c r="H17" t="str">
        <f>"IND***AO SMITH CMC-54 WA"</f>
        <v>IND***AO SMITH CMC-54 WA</v>
      </c>
      <c r="I17">
        <v>1</v>
      </c>
      <c r="J17">
        <v>0</v>
      </c>
      <c r="K17">
        <v>1</v>
      </c>
      <c r="L17">
        <v>0</v>
      </c>
      <c r="M17">
        <v>0</v>
      </c>
      <c r="N17">
        <v>900230</v>
      </c>
      <c r="O17" s="1">
        <v>41398</v>
      </c>
      <c r="P17">
        <v>10</v>
      </c>
      <c r="Q17" t="str">
        <f>"78C399   "</f>
        <v xml:space="preserve">78C399   </v>
      </c>
    </row>
    <row r="18" spans="1:17" x14ac:dyDescent="0.25">
      <c r="A18" t="str">
        <f t="shared" si="1"/>
        <v>19175</v>
      </c>
      <c r="B18">
        <v>904708</v>
      </c>
      <c r="C18" s="1">
        <v>41345</v>
      </c>
      <c r="D18" t="str">
        <f>"00169761            "</f>
        <v xml:space="preserve">00169761            </v>
      </c>
      <c r="E18">
        <v>14</v>
      </c>
      <c r="F18">
        <v>40</v>
      </c>
      <c r="G18" t="s">
        <v>24</v>
      </c>
      <c r="H18" t="str">
        <f>"IND***9013 ELITE XL GLOV"</f>
        <v>IND***9013 ELITE XL GLOV</v>
      </c>
      <c r="I18">
        <v>36</v>
      </c>
      <c r="J18">
        <v>0</v>
      </c>
      <c r="K18">
        <v>36</v>
      </c>
      <c r="L18">
        <v>0</v>
      </c>
      <c r="M18">
        <v>0</v>
      </c>
      <c r="N18">
        <v>904799</v>
      </c>
      <c r="O18" s="1">
        <v>41352</v>
      </c>
      <c r="P18">
        <v>20</v>
      </c>
      <c r="Q18" t="str">
        <f>"78HH85   "</f>
        <v xml:space="preserve">78HH85   </v>
      </c>
    </row>
    <row r="19" spans="1:17" x14ac:dyDescent="0.25">
      <c r="A19" t="str">
        <f t="shared" si="1"/>
        <v>19175</v>
      </c>
      <c r="B19">
        <v>915277</v>
      </c>
      <c r="C19" s="1">
        <v>41348</v>
      </c>
      <c r="D19" t="str">
        <f>"00169894            "</f>
        <v xml:space="preserve">00169894            </v>
      </c>
      <c r="E19">
        <v>14</v>
      </c>
      <c r="F19">
        <v>10</v>
      </c>
      <c r="G19" t="s">
        <v>28</v>
      </c>
      <c r="H19" t="str">
        <f>"PFIT KVS-2-18TH KVLR PRO"</f>
        <v>PFIT KVS-2-18TH KVLR PRO</v>
      </c>
      <c r="I19">
        <v>600</v>
      </c>
      <c r="J19">
        <v>0</v>
      </c>
      <c r="K19">
        <v>600</v>
      </c>
      <c r="L19">
        <v>0</v>
      </c>
      <c r="M19">
        <v>0</v>
      </c>
      <c r="N19">
        <v>915278</v>
      </c>
      <c r="O19" s="1">
        <v>41353</v>
      </c>
      <c r="P19">
        <v>10</v>
      </c>
      <c r="Q19" t="str">
        <f>"78F986   "</f>
        <v xml:space="preserve">78F986   </v>
      </c>
    </row>
    <row r="20" spans="1:17" x14ac:dyDescent="0.25">
      <c r="A20" t="str">
        <f t="shared" si="1"/>
        <v>19175</v>
      </c>
      <c r="B20">
        <v>918925</v>
      </c>
      <c r="C20" s="1">
        <v>41351</v>
      </c>
      <c r="D20" t="str">
        <f>"00169918            "</f>
        <v xml:space="preserve">00169918            </v>
      </c>
      <c r="E20">
        <v>14</v>
      </c>
      <c r="F20">
        <v>10</v>
      </c>
      <c r="G20" t="s">
        <v>29</v>
      </c>
      <c r="H20" t="str">
        <f>"SQD QO120GFI MINIATURE C"</f>
        <v>SQD QO120GFI MINIATURE C</v>
      </c>
      <c r="I20">
        <v>10</v>
      </c>
      <c r="J20">
        <v>0</v>
      </c>
      <c r="K20">
        <v>10</v>
      </c>
      <c r="L20">
        <v>0</v>
      </c>
      <c r="M20">
        <v>0</v>
      </c>
      <c r="N20">
        <v>918926</v>
      </c>
      <c r="O20" t="s">
        <v>25</v>
      </c>
      <c r="P20">
        <v>10</v>
      </c>
      <c r="Q20" t="str">
        <f>"78ID29   "</f>
        <v xml:space="preserve">78ID29   </v>
      </c>
    </row>
    <row r="21" spans="1:17" x14ac:dyDescent="0.25">
      <c r="A21" t="str">
        <f t="shared" si="1"/>
        <v>19175</v>
      </c>
      <c r="B21">
        <v>937344</v>
      </c>
      <c r="C21" s="1">
        <v>41358</v>
      </c>
      <c r="D21" t="str">
        <f>"00170175            "</f>
        <v xml:space="preserve">00170175            </v>
      </c>
      <c r="E21">
        <v>14</v>
      </c>
      <c r="F21">
        <v>10</v>
      </c>
      <c r="G21" t="s">
        <v>24</v>
      </c>
      <c r="H21" t="str">
        <f>"IND***FTSW.75X15Y VELCRO"</f>
        <v>IND***FTSW.75X15Y VELCRO</v>
      </c>
      <c r="I21">
        <v>1000</v>
      </c>
      <c r="J21">
        <v>0</v>
      </c>
      <c r="K21">
        <v>300</v>
      </c>
      <c r="L21">
        <v>0</v>
      </c>
      <c r="M21">
        <v>700</v>
      </c>
      <c r="N21">
        <v>937349</v>
      </c>
      <c r="O21" s="1">
        <v>41369</v>
      </c>
      <c r="P21">
        <v>10</v>
      </c>
      <c r="Q21" t="str">
        <f>"78A053   "</f>
        <v xml:space="preserve">78A053   </v>
      </c>
    </row>
    <row r="22" spans="1:17" x14ac:dyDescent="0.25">
      <c r="A22" t="str">
        <f t="shared" si="1"/>
        <v>19175</v>
      </c>
      <c r="B22">
        <v>941218</v>
      </c>
      <c r="C22" s="1">
        <v>41359</v>
      </c>
      <c r="D22" t="str">
        <f>"00170259            "</f>
        <v xml:space="preserve">00170259            </v>
      </c>
      <c r="E22">
        <v>14</v>
      </c>
      <c r="F22">
        <v>20</v>
      </c>
      <c r="G22" t="s">
        <v>24</v>
      </c>
      <c r="H22" t="str">
        <f>"IND***INTERSTATE SLA1175"</f>
        <v>IND***INTERSTATE SLA1175</v>
      </c>
      <c r="I22">
        <v>1</v>
      </c>
      <c r="J22">
        <v>0</v>
      </c>
      <c r="K22">
        <v>1</v>
      </c>
      <c r="L22">
        <v>0</v>
      </c>
      <c r="M22">
        <v>0</v>
      </c>
      <c r="N22">
        <v>941322</v>
      </c>
      <c r="O22" s="1">
        <v>41376</v>
      </c>
      <c r="P22">
        <v>10</v>
      </c>
      <c r="Q22" t="str">
        <f>"78B264   "</f>
        <v xml:space="preserve">78B264   </v>
      </c>
    </row>
    <row r="23" spans="1:17" x14ac:dyDescent="0.25">
      <c r="A23" t="str">
        <f t="shared" si="1"/>
        <v>19175</v>
      </c>
      <c r="B23">
        <v>945807</v>
      </c>
      <c r="C23" s="1">
        <v>41360</v>
      </c>
      <c r="D23" t="str">
        <f>"00170319            "</f>
        <v xml:space="preserve">00170319            </v>
      </c>
      <c r="E23">
        <v>14</v>
      </c>
      <c r="F23">
        <v>20</v>
      </c>
      <c r="G23" t="s">
        <v>24</v>
      </c>
      <c r="H23" t="str">
        <f>"IND***J9000CCV LIME SURV"</f>
        <v>IND***J9000CCV LIME SURV</v>
      </c>
      <c r="I23">
        <v>30</v>
      </c>
      <c r="J23">
        <v>0</v>
      </c>
      <c r="K23">
        <v>30</v>
      </c>
      <c r="L23">
        <v>0</v>
      </c>
      <c r="M23">
        <v>0</v>
      </c>
      <c r="N23">
        <v>945814</v>
      </c>
      <c r="O23" s="1">
        <v>41372</v>
      </c>
      <c r="P23">
        <v>10</v>
      </c>
      <c r="Q23" t="str">
        <f>"78B939   "</f>
        <v xml:space="preserve">78B939   </v>
      </c>
    </row>
    <row r="24" spans="1:17" x14ac:dyDescent="0.25">
      <c r="A24" t="str">
        <f t="shared" si="1"/>
        <v>19175</v>
      </c>
      <c r="B24">
        <v>959476</v>
      </c>
      <c r="C24" s="1">
        <v>41365</v>
      </c>
      <c r="D24" t="str">
        <f>"00170460            "</f>
        <v xml:space="preserve">00170460            </v>
      </c>
      <c r="E24">
        <v>14</v>
      </c>
      <c r="F24">
        <v>24</v>
      </c>
      <c r="G24" t="s">
        <v>24</v>
      </c>
      <c r="H24" t="str">
        <f>"IND***GEERPRES 1010 WRIN"</f>
        <v>IND***GEERPRES 1010 WRIN</v>
      </c>
      <c r="I24">
        <v>6</v>
      </c>
      <c r="J24">
        <v>0</v>
      </c>
      <c r="K24">
        <v>6</v>
      </c>
      <c r="L24">
        <v>0</v>
      </c>
      <c r="M24">
        <v>0</v>
      </c>
      <c r="N24">
        <v>959592</v>
      </c>
      <c r="O24" s="1">
        <v>41379</v>
      </c>
      <c r="P24">
        <v>10</v>
      </c>
      <c r="Q24" t="str">
        <f>"78ID29   "</f>
        <v xml:space="preserve">78ID29   </v>
      </c>
    </row>
    <row r="25" spans="1:17" x14ac:dyDescent="0.25">
      <c r="A25" t="str">
        <f t="shared" si="1"/>
        <v>19175</v>
      </c>
      <c r="B25">
        <v>967089</v>
      </c>
      <c r="C25" s="1">
        <v>41367</v>
      </c>
      <c r="D25" t="str">
        <f>"0016938600036       "</f>
        <v xml:space="preserve">0016938600036       </v>
      </c>
      <c r="E25">
        <v>14</v>
      </c>
      <c r="F25">
        <v>40</v>
      </c>
      <c r="G25" t="s">
        <v>30</v>
      </c>
      <c r="H25" t="str">
        <f>"WLTN R8932S0600 1/2X600'"</f>
        <v>WLTN R8932S0600 1/2X600'</v>
      </c>
      <c r="I25">
        <v>6000</v>
      </c>
      <c r="J25">
        <v>0</v>
      </c>
      <c r="K25">
        <v>6000</v>
      </c>
      <c r="L25">
        <v>0</v>
      </c>
      <c r="M25">
        <v>0</v>
      </c>
      <c r="N25">
        <v>967205</v>
      </c>
      <c r="O25" s="1">
        <v>41388</v>
      </c>
      <c r="P25">
        <v>10</v>
      </c>
      <c r="Q25" t="str">
        <f>"78H863   "</f>
        <v xml:space="preserve">78H863   </v>
      </c>
    </row>
    <row r="26" spans="1:17" x14ac:dyDescent="0.25">
      <c r="A26" t="str">
        <f t="shared" si="1"/>
        <v>19175</v>
      </c>
      <c r="B26">
        <v>977632</v>
      </c>
      <c r="C26" s="1">
        <v>41372</v>
      </c>
      <c r="D26" t="str">
        <f>"0016938600039       "</f>
        <v xml:space="preserve">0016938600039       </v>
      </c>
      <c r="E26">
        <v>14</v>
      </c>
      <c r="F26">
        <v>20</v>
      </c>
      <c r="G26" t="s">
        <v>24</v>
      </c>
      <c r="H26" t="str">
        <f>"IND***775NB 55GAL DETERG"</f>
        <v>IND***775NB 55GAL DETERG</v>
      </c>
      <c r="I26">
        <v>55</v>
      </c>
      <c r="J26">
        <v>0</v>
      </c>
      <c r="K26">
        <v>55</v>
      </c>
      <c r="L26">
        <v>0</v>
      </c>
      <c r="M26">
        <v>0</v>
      </c>
      <c r="N26">
        <v>979176</v>
      </c>
      <c r="O26" t="s">
        <v>25</v>
      </c>
      <c r="P26">
        <v>10</v>
      </c>
      <c r="Q26" t="str">
        <f>"78IB24   "</f>
        <v xml:space="preserve">78IB24   </v>
      </c>
    </row>
    <row r="27" spans="1:17" x14ac:dyDescent="0.25">
      <c r="A27" t="str">
        <f t="shared" ref="A27:A38" si="2">"19180"</f>
        <v>19180</v>
      </c>
      <c r="B27">
        <v>591197</v>
      </c>
      <c r="C27" s="1">
        <v>41221</v>
      </c>
      <c r="D27" t="str">
        <f>"00165648            "</f>
        <v xml:space="preserve">00165648            </v>
      </c>
      <c r="E27">
        <v>14</v>
      </c>
      <c r="F27">
        <v>10</v>
      </c>
      <c r="G27" t="s">
        <v>24</v>
      </c>
      <c r="H27" t="str">
        <f>"IND***C230 SZ 46 GARK GR"</f>
        <v>IND***C230 SZ 46 GARK GR</v>
      </c>
      <c r="I27">
        <v>10</v>
      </c>
      <c r="J27">
        <v>0</v>
      </c>
      <c r="K27">
        <v>10</v>
      </c>
      <c r="L27">
        <v>0</v>
      </c>
      <c r="M27">
        <v>0</v>
      </c>
      <c r="N27">
        <v>591204</v>
      </c>
      <c r="O27" s="1">
        <v>41330</v>
      </c>
      <c r="P27">
        <v>10</v>
      </c>
      <c r="Q27" t="str">
        <f>"78BJ59   "</f>
        <v xml:space="preserve">78BJ59   </v>
      </c>
    </row>
    <row r="28" spans="1:17" x14ac:dyDescent="0.25">
      <c r="A28" t="str">
        <f t="shared" si="2"/>
        <v>19180</v>
      </c>
      <c r="B28">
        <v>591197</v>
      </c>
      <c r="C28" s="1">
        <v>41221</v>
      </c>
      <c r="D28" t="str">
        <f>"00165648            "</f>
        <v xml:space="preserve">00165648            </v>
      </c>
      <c r="E28">
        <v>14</v>
      </c>
      <c r="F28">
        <v>34</v>
      </c>
      <c r="G28" t="s">
        <v>24</v>
      </c>
      <c r="H28" t="str">
        <f>"IND***C230 XXL DARK GREE"</f>
        <v>IND***C230 XXL DARK GREE</v>
      </c>
      <c r="I28">
        <v>15</v>
      </c>
      <c r="J28">
        <v>0</v>
      </c>
      <c r="K28">
        <v>15</v>
      </c>
      <c r="L28">
        <v>0</v>
      </c>
      <c r="M28">
        <v>0</v>
      </c>
      <c r="N28">
        <v>591205</v>
      </c>
      <c r="O28" s="1">
        <v>41332</v>
      </c>
      <c r="P28">
        <v>10</v>
      </c>
      <c r="Q28" t="str">
        <f>"78BJ59   "</f>
        <v xml:space="preserve">78BJ59   </v>
      </c>
    </row>
    <row r="29" spans="1:17" x14ac:dyDescent="0.25">
      <c r="A29" t="str">
        <f t="shared" si="2"/>
        <v>19180</v>
      </c>
      <c r="B29">
        <v>699741</v>
      </c>
      <c r="C29" s="1">
        <v>41263</v>
      </c>
      <c r="D29" t="str">
        <f>"00167040            "</f>
        <v xml:space="preserve">00167040            </v>
      </c>
      <c r="E29">
        <v>14</v>
      </c>
      <c r="F29">
        <v>10</v>
      </c>
      <c r="G29" t="s">
        <v>24</v>
      </c>
      <c r="H29" t="str">
        <f>"IND***CC250FP           "</f>
        <v xml:space="preserve">IND***CC250FP           </v>
      </c>
      <c r="I29">
        <v>1</v>
      </c>
      <c r="J29">
        <v>0</v>
      </c>
      <c r="K29">
        <v>1</v>
      </c>
      <c r="L29">
        <v>0</v>
      </c>
      <c r="M29">
        <v>0</v>
      </c>
      <c r="N29">
        <v>699742</v>
      </c>
      <c r="O29" t="s">
        <v>25</v>
      </c>
      <c r="P29">
        <v>10</v>
      </c>
      <c r="Q29" t="str">
        <f>"78NA30   "</f>
        <v xml:space="preserve">78NA30   </v>
      </c>
    </row>
    <row r="30" spans="1:17" x14ac:dyDescent="0.25">
      <c r="A30" t="str">
        <f t="shared" si="2"/>
        <v>19180</v>
      </c>
      <c r="B30">
        <v>749383</v>
      </c>
      <c r="C30" s="1">
        <v>41290</v>
      </c>
      <c r="D30" t="str">
        <f>"00167603            "</f>
        <v xml:space="preserve">00167603            </v>
      </c>
      <c r="E30">
        <v>14</v>
      </c>
      <c r="F30">
        <v>20</v>
      </c>
      <c r="G30" t="s">
        <v>24</v>
      </c>
      <c r="H30" t="str">
        <f>"IND***17-985-651 DRAEGER"</f>
        <v>IND***17-985-651 DRAEGER</v>
      </c>
      <c r="I30">
        <v>30</v>
      </c>
      <c r="J30">
        <v>0</v>
      </c>
      <c r="K30">
        <v>30</v>
      </c>
      <c r="L30">
        <v>0</v>
      </c>
      <c r="M30">
        <v>0</v>
      </c>
      <c r="N30">
        <v>749583</v>
      </c>
      <c r="O30" s="1">
        <v>41312</v>
      </c>
      <c r="P30">
        <v>20</v>
      </c>
      <c r="Q30" t="str">
        <f>"78F420   "</f>
        <v xml:space="preserve">78F420   </v>
      </c>
    </row>
    <row r="31" spans="1:17" x14ac:dyDescent="0.25">
      <c r="A31" t="str">
        <f t="shared" si="2"/>
        <v>19180</v>
      </c>
      <c r="B31">
        <v>892480</v>
      </c>
      <c r="C31" s="1">
        <v>41340</v>
      </c>
      <c r="D31" t="str">
        <f>"00169604            "</f>
        <v xml:space="preserve">00169604            </v>
      </c>
      <c r="E31">
        <v>14</v>
      </c>
      <c r="F31">
        <v>10</v>
      </c>
      <c r="G31" t="s">
        <v>24</v>
      </c>
      <c r="H31" t="str">
        <f>"IND***B10-1H2B-BLB LEVEL"</f>
        <v>IND***B10-1H2B-BLB LEVEL</v>
      </c>
      <c r="I31">
        <v>1</v>
      </c>
      <c r="J31">
        <v>0</v>
      </c>
      <c r="K31">
        <v>1</v>
      </c>
      <c r="L31">
        <v>0</v>
      </c>
      <c r="M31">
        <v>0</v>
      </c>
      <c r="N31">
        <v>892573</v>
      </c>
      <c r="O31" s="1">
        <v>41362</v>
      </c>
      <c r="P31">
        <v>10</v>
      </c>
      <c r="Q31" t="str">
        <f>"78MM18   "</f>
        <v xml:space="preserve">78MM18   </v>
      </c>
    </row>
    <row r="32" spans="1:17" x14ac:dyDescent="0.25">
      <c r="A32" t="str">
        <f t="shared" si="2"/>
        <v>19180</v>
      </c>
      <c r="B32">
        <v>899578</v>
      </c>
      <c r="C32" s="1">
        <v>41344</v>
      </c>
      <c r="D32" t="str">
        <f>"00169633            "</f>
        <v xml:space="preserve">00169633            </v>
      </c>
      <c r="E32">
        <v>14</v>
      </c>
      <c r="F32">
        <v>10</v>
      </c>
      <c r="G32" t="s">
        <v>24</v>
      </c>
      <c r="H32" t="str">
        <f>"IND***HTA11361830-02 DAR"</f>
        <v>IND***HTA11361830-02 DAR</v>
      </c>
      <c r="I32">
        <v>3</v>
      </c>
      <c r="J32">
        <v>0</v>
      </c>
      <c r="K32">
        <v>3</v>
      </c>
      <c r="L32">
        <v>0</v>
      </c>
      <c r="M32">
        <v>0</v>
      </c>
      <c r="N32">
        <v>899597</v>
      </c>
      <c r="O32" s="1">
        <v>41372</v>
      </c>
      <c r="P32">
        <v>10</v>
      </c>
      <c r="Q32" t="str">
        <f>"78SQ29   "</f>
        <v xml:space="preserve">78SQ29   </v>
      </c>
    </row>
    <row r="33" spans="1:17" x14ac:dyDescent="0.25">
      <c r="A33" t="str">
        <f t="shared" si="2"/>
        <v>19180</v>
      </c>
      <c r="B33">
        <v>930851</v>
      </c>
      <c r="C33" s="1">
        <v>41354</v>
      </c>
      <c r="D33" t="str">
        <f>"DYE  KEVIN          "</f>
        <v xml:space="preserve">DYE  KEVIN          </v>
      </c>
      <c r="E33">
        <v>14</v>
      </c>
      <c r="F33">
        <v>10</v>
      </c>
      <c r="G33" t="s">
        <v>24</v>
      </c>
      <c r="H33" t="str">
        <f>"IND***ARC100AFH FACE SHE"</f>
        <v>IND***ARC100AFH FACE SHE</v>
      </c>
      <c r="I33">
        <v>15</v>
      </c>
      <c r="J33">
        <v>0</v>
      </c>
      <c r="K33">
        <v>15</v>
      </c>
      <c r="L33">
        <v>0</v>
      </c>
      <c r="M33">
        <v>0</v>
      </c>
      <c r="N33">
        <v>930876</v>
      </c>
      <c r="O33" s="1">
        <v>41369</v>
      </c>
      <c r="P33">
        <v>10</v>
      </c>
      <c r="Q33" t="str">
        <f>"78O336   "</f>
        <v xml:space="preserve">78O336   </v>
      </c>
    </row>
    <row r="34" spans="1:17" x14ac:dyDescent="0.25">
      <c r="A34" t="str">
        <f t="shared" si="2"/>
        <v>19180</v>
      </c>
      <c r="B34">
        <v>937552</v>
      </c>
      <c r="C34" s="1">
        <v>41358</v>
      </c>
      <c r="D34" t="str">
        <f>"00170191            "</f>
        <v xml:space="preserve">00170191            </v>
      </c>
      <c r="E34">
        <v>14</v>
      </c>
      <c r="F34">
        <v>21</v>
      </c>
      <c r="G34" t="s">
        <v>24</v>
      </c>
      <c r="H34" t="str">
        <f>"IND***ONS36X60 DOT ASBES"</f>
        <v>IND***ONS36X60 DOT ASBES</v>
      </c>
      <c r="I34">
        <v>600</v>
      </c>
      <c r="J34">
        <v>0</v>
      </c>
      <c r="K34">
        <v>600</v>
      </c>
      <c r="L34">
        <v>0</v>
      </c>
      <c r="M34">
        <v>0</v>
      </c>
      <c r="N34">
        <v>937606</v>
      </c>
      <c r="O34" s="1">
        <v>41368</v>
      </c>
      <c r="P34">
        <v>10</v>
      </c>
      <c r="Q34" t="str">
        <f>"78ID29   "</f>
        <v xml:space="preserve">78ID29   </v>
      </c>
    </row>
    <row r="35" spans="1:17" x14ac:dyDescent="0.25">
      <c r="A35" t="str">
        <f t="shared" si="2"/>
        <v>19180</v>
      </c>
      <c r="B35">
        <v>949612</v>
      </c>
      <c r="C35" s="1">
        <v>41361</v>
      </c>
      <c r="D35" t="str">
        <f>"00154450            "</f>
        <v xml:space="preserve">00154450            </v>
      </c>
      <c r="E35">
        <v>14</v>
      </c>
      <c r="F35">
        <v>10</v>
      </c>
      <c r="G35" t="s">
        <v>24</v>
      </c>
      <c r="H35" t="str">
        <f>"IND***FCA-125-DY9  RELAY"</f>
        <v>IND***FCA-125-DY9  RELAY</v>
      </c>
      <c r="I35">
        <v>10</v>
      </c>
      <c r="J35">
        <v>0</v>
      </c>
      <c r="K35">
        <v>10</v>
      </c>
      <c r="L35">
        <v>0</v>
      </c>
      <c r="M35">
        <v>0</v>
      </c>
      <c r="N35">
        <v>949905</v>
      </c>
      <c r="O35" s="1">
        <v>41483</v>
      </c>
      <c r="P35">
        <v>10</v>
      </c>
      <c r="Q35" t="str">
        <f>"78G181   "</f>
        <v xml:space="preserve">78G181   </v>
      </c>
    </row>
    <row r="36" spans="1:17" x14ac:dyDescent="0.25">
      <c r="A36" t="str">
        <f t="shared" si="2"/>
        <v>19180</v>
      </c>
      <c r="B36">
        <v>967795</v>
      </c>
      <c r="C36" s="1">
        <v>41367</v>
      </c>
      <c r="D36" t="str">
        <f>"00170595            "</f>
        <v xml:space="preserve">00170595            </v>
      </c>
      <c r="E36">
        <v>14</v>
      </c>
      <c r="F36">
        <v>10</v>
      </c>
      <c r="G36" t="s">
        <v>24</v>
      </c>
      <c r="H36" t="str">
        <f>"IND***103048 PRO-TEAM HO"</f>
        <v>IND***103048 PRO-TEAM HO</v>
      </c>
      <c r="I36">
        <v>20</v>
      </c>
      <c r="J36">
        <v>0</v>
      </c>
      <c r="K36">
        <v>20</v>
      </c>
      <c r="L36">
        <v>0</v>
      </c>
      <c r="M36">
        <v>0</v>
      </c>
      <c r="N36">
        <v>968151</v>
      </c>
      <c r="O36" s="1">
        <v>41374</v>
      </c>
      <c r="P36">
        <v>10</v>
      </c>
      <c r="Q36" t="str">
        <f>"78ID29   "</f>
        <v xml:space="preserve">78ID29   </v>
      </c>
    </row>
    <row r="37" spans="1:17" x14ac:dyDescent="0.25">
      <c r="A37" t="str">
        <f t="shared" si="2"/>
        <v>19180</v>
      </c>
      <c r="B37">
        <v>974515</v>
      </c>
      <c r="C37" s="1">
        <v>41369</v>
      </c>
      <c r="D37" t="str">
        <f>"00170666            "</f>
        <v xml:space="preserve">00170666            </v>
      </c>
      <c r="E37">
        <v>14</v>
      </c>
      <c r="F37">
        <v>10</v>
      </c>
      <c r="G37" t="s">
        <v>24</v>
      </c>
      <c r="H37" t="str">
        <f>"IND***HONEYWELL LSA4L   "</f>
        <v xml:space="preserve">IND***HONEYWELL LSA4L   </v>
      </c>
      <c r="I37">
        <v>1</v>
      </c>
      <c r="J37">
        <v>0</v>
      </c>
      <c r="K37">
        <v>1</v>
      </c>
      <c r="L37">
        <v>0</v>
      </c>
      <c r="M37">
        <v>0</v>
      </c>
      <c r="N37">
        <v>974568</v>
      </c>
      <c r="O37" s="1">
        <v>41372</v>
      </c>
      <c r="P37">
        <v>10</v>
      </c>
      <c r="Q37" t="str">
        <f>"783528   "</f>
        <v xml:space="preserve">783528   </v>
      </c>
    </row>
    <row r="38" spans="1:17" x14ac:dyDescent="0.25">
      <c r="A38" t="str">
        <f t="shared" si="2"/>
        <v>19180</v>
      </c>
      <c r="B38">
        <v>988868</v>
      </c>
      <c r="C38" s="1">
        <v>41375</v>
      </c>
      <c r="D38" t="str">
        <f>"00170896            "</f>
        <v xml:space="preserve">00170896            </v>
      </c>
      <c r="E38">
        <v>14</v>
      </c>
      <c r="F38">
        <v>10</v>
      </c>
      <c r="G38" t="s">
        <v>104</v>
      </c>
      <c r="H38" t="str">
        <f>"GE TEFPLD1 CB PADLOCK DE"</f>
        <v>GE TEFPLD1 CB PADLOCK DE</v>
      </c>
      <c r="I38">
        <v>42</v>
      </c>
      <c r="J38">
        <v>0</v>
      </c>
      <c r="K38">
        <v>42</v>
      </c>
      <c r="L38">
        <v>0</v>
      </c>
      <c r="M38">
        <v>0</v>
      </c>
      <c r="N38">
        <v>988908</v>
      </c>
      <c r="O38" t="s">
        <v>25</v>
      </c>
      <c r="P38">
        <v>10</v>
      </c>
      <c r="Q38" t="str">
        <f>"XX7611   "</f>
        <v xml:space="preserve">XX7611   </v>
      </c>
    </row>
    <row r="39" spans="1:17" x14ac:dyDescent="0.25">
      <c r="A39" t="str">
        <f t="shared" ref="A39:A47" si="3">"19679"</f>
        <v>19679</v>
      </c>
      <c r="B39">
        <v>862447</v>
      </c>
      <c r="C39" s="1">
        <v>41332</v>
      </c>
      <c r="D39" t="str">
        <f t="shared" ref="D39:D44" si="4">"CATHODIC 1.7-0208566"</f>
        <v>CATHODIC 1.7-0208566</v>
      </c>
      <c r="E39">
        <v>14</v>
      </c>
      <c r="F39">
        <v>40</v>
      </c>
      <c r="G39" t="s">
        <v>31</v>
      </c>
      <c r="H39" t="str">
        <f>"J-M 2540ULLB CONDUIT  2 "</f>
        <v xml:space="preserve">J-M 2540ULLB CONDUIT  2 </v>
      </c>
      <c r="I39">
        <v>1900</v>
      </c>
      <c r="J39">
        <v>0</v>
      </c>
      <c r="K39">
        <v>1900</v>
      </c>
      <c r="L39">
        <v>0</v>
      </c>
      <c r="M39">
        <v>0</v>
      </c>
      <c r="N39">
        <v>865386</v>
      </c>
      <c r="O39" t="s">
        <v>25</v>
      </c>
      <c r="P39">
        <v>90</v>
      </c>
      <c r="Q39" t="str">
        <f t="shared" ref="Q39:Q44" si="5">"78P500   "</f>
        <v xml:space="preserve">78P500   </v>
      </c>
    </row>
    <row r="40" spans="1:17" x14ac:dyDescent="0.25">
      <c r="A40" t="str">
        <f t="shared" si="3"/>
        <v>19679</v>
      </c>
      <c r="B40">
        <v>862447</v>
      </c>
      <c r="C40" s="1">
        <v>41332</v>
      </c>
      <c r="D40" t="str">
        <f t="shared" si="4"/>
        <v>CATHODIC 1.7-0208566</v>
      </c>
      <c r="E40">
        <v>14</v>
      </c>
      <c r="F40">
        <v>60</v>
      </c>
      <c r="G40" t="s">
        <v>32</v>
      </c>
      <c r="H40" t="str">
        <f>"J-M 71900200 FITTINGS FO"</f>
        <v>J-M 71900200 FITTINGS FO</v>
      </c>
      <c r="I40">
        <v>45</v>
      </c>
      <c r="J40">
        <v>0</v>
      </c>
      <c r="K40">
        <v>45</v>
      </c>
      <c r="L40">
        <v>0</v>
      </c>
      <c r="M40">
        <v>0</v>
      </c>
      <c r="N40">
        <v>865386</v>
      </c>
      <c r="O40" t="s">
        <v>25</v>
      </c>
      <c r="P40">
        <v>170</v>
      </c>
      <c r="Q40" t="str">
        <f t="shared" si="5"/>
        <v xml:space="preserve">78P500   </v>
      </c>
    </row>
    <row r="41" spans="1:17" x14ac:dyDescent="0.25">
      <c r="A41" t="str">
        <f t="shared" si="3"/>
        <v>19679</v>
      </c>
      <c r="B41">
        <v>862447</v>
      </c>
      <c r="C41" s="1">
        <v>41332</v>
      </c>
      <c r="D41" t="str">
        <f t="shared" si="4"/>
        <v>CATHODIC 1.7-0208566</v>
      </c>
      <c r="E41">
        <v>14</v>
      </c>
      <c r="F41">
        <v>80</v>
      </c>
      <c r="G41" t="s">
        <v>33</v>
      </c>
      <c r="H41" t="str">
        <f>"J-M 71450200 FITTINGS FO"</f>
        <v>J-M 71450200 FITTINGS FO</v>
      </c>
      <c r="I41">
        <v>30</v>
      </c>
      <c r="J41">
        <v>0</v>
      </c>
      <c r="K41">
        <v>30</v>
      </c>
      <c r="L41">
        <v>0</v>
      </c>
      <c r="M41">
        <v>0</v>
      </c>
      <c r="N41">
        <v>865386</v>
      </c>
      <c r="O41" t="s">
        <v>25</v>
      </c>
      <c r="P41">
        <v>250</v>
      </c>
      <c r="Q41" t="str">
        <f t="shared" si="5"/>
        <v xml:space="preserve">78P500   </v>
      </c>
    </row>
    <row r="42" spans="1:17" x14ac:dyDescent="0.25">
      <c r="A42" t="str">
        <f t="shared" si="3"/>
        <v>19679</v>
      </c>
      <c r="B42">
        <v>862447</v>
      </c>
      <c r="C42" s="1">
        <v>41332</v>
      </c>
      <c r="D42" t="str">
        <f t="shared" si="4"/>
        <v>CATHODIC 1.7-0208566</v>
      </c>
      <c r="E42">
        <v>14</v>
      </c>
      <c r="F42">
        <v>200</v>
      </c>
      <c r="G42" t="s">
        <v>34</v>
      </c>
      <c r="H42" t="str">
        <f>"MCMA 7513K39 90º SWEEP  "</f>
        <v xml:space="preserve">MCMA 7513K39 90º SWEEP  </v>
      </c>
      <c r="I42">
        <v>80</v>
      </c>
      <c r="J42">
        <v>0</v>
      </c>
      <c r="K42">
        <v>80</v>
      </c>
      <c r="L42">
        <v>0</v>
      </c>
      <c r="M42">
        <v>0</v>
      </c>
      <c r="N42">
        <v>865386</v>
      </c>
      <c r="O42" t="s">
        <v>25</v>
      </c>
      <c r="P42">
        <v>330</v>
      </c>
      <c r="Q42" t="str">
        <f t="shared" si="5"/>
        <v xml:space="preserve">78P500   </v>
      </c>
    </row>
    <row r="43" spans="1:17" x14ac:dyDescent="0.25">
      <c r="A43" t="str">
        <f t="shared" si="3"/>
        <v>19679</v>
      </c>
      <c r="B43">
        <v>862447</v>
      </c>
      <c r="C43" s="1">
        <v>41332</v>
      </c>
      <c r="D43" t="str">
        <f t="shared" si="4"/>
        <v>CATHODIC 1.7-0208566</v>
      </c>
      <c r="E43">
        <v>14</v>
      </c>
      <c r="F43">
        <v>220</v>
      </c>
      <c r="G43" t="s">
        <v>35</v>
      </c>
      <c r="H43" t="str">
        <f>"1.25S40ULLB CONDUIT  1-1"</f>
        <v>1.25S40ULLB CONDUIT  1-1</v>
      </c>
      <c r="I43">
        <v>30</v>
      </c>
      <c r="J43">
        <v>0</v>
      </c>
      <c r="K43">
        <v>30</v>
      </c>
      <c r="L43">
        <v>0</v>
      </c>
      <c r="M43">
        <v>0</v>
      </c>
      <c r="N43">
        <v>865386</v>
      </c>
      <c r="O43" t="s">
        <v>25</v>
      </c>
      <c r="P43">
        <v>410</v>
      </c>
      <c r="Q43" t="str">
        <f t="shared" si="5"/>
        <v xml:space="preserve">78P500   </v>
      </c>
    </row>
    <row r="44" spans="1:17" x14ac:dyDescent="0.25">
      <c r="A44" t="str">
        <f t="shared" si="3"/>
        <v>19679</v>
      </c>
      <c r="B44">
        <v>862447</v>
      </c>
      <c r="C44" s="1">
        <v>41332</v>
      </c>
      <c r="D44" t="str">
        <f t="shared" si="4"/>
        <v>CATHODIC 1.7-0208566</v>
      </c>
      <c r="E44">
        <v>14</v>
      </c>
      <c r="F44">
        <v>300</v>
      </c>
      <c r="G44" t="s">
        <v>36</v>
      </c>
      <c r="H44" t="str">
        <f>"J-M BY DESCRIPTION 90º S"</f>
        <v>J-M BY DESCRIPTION 90º S</v>
      </c>
      <c r="I44">
        <v>6</v>
      </c>
      <c r="J44">
        <v>0</v>
      </c>
      <c r="K44">
        <v>6</v>
      </c>
      <c r="L44">
        <v>0</v>
      </c>
      <c r="M44">
        <v>0</v>
      </c>
      <c r="N44">
        <v>865386</v>
      </c>
      <c r="O44" t="s">
        <v>25</v>
      </c>
      <c r="P44">
        <v>570</v>
      </c>
      <c r="Q44" t="str">
        <f t="shared" si="5"/>
        <v xml:space="preserve">78P500   </v>
      </c>
    </row>
    <row r="45" spans="1:17" x14ac:dyDescent="0.25">
      <c r="A45" t="str">
        <f t="shared" si="3"/>
        <v>19679</v>
      </c>
      <c r="B45">
        <v>927300</v>
      </c>
      <c r="C45" s="1">
        <v>41353</v>
      </c>
      <c r="D45" t="str">
        <f>"CATHODIC 1.9-0210082"</f>
        <v>CATHODIC 1.9-0210082</v>
      </c>
      <c r="E45">
        <v>14</v>
      </c>
      <c r="F45">
        <v>20</v>
      </c>
      <c r="G45" t="s">
        <v>37</v>
      </c>
      <c r="H45" t="str">
        <f>"CORR LT2.5/100 - 150FT A"</f>
        <v>CORR LT2.5/100 - 150FT A</v>
      </c>
      <c r="I45">
        <v>260</v>
      </c>
      <c r="J45">
        <v>0</v>
      </c>
      <c r="K45">
        <v>260</v>
      </c>
      <c r="L45">
        <v>0</v>
      </c>
      <c r="M45">
        <v>0</v>
      </c>
      <c r="N45">
        <v>928503</v>
      </c>
      <c r="O45" t="s">
        <v>25</v>
      </c>
      <c r="P45">
        <v>10</v>
      </c>
      <c r="Q45" t="str">
        <f>"78CF40   "</f>
        <v xml:space="preserve">78CF40   </v>
      </c>
    </row>
    <row r="46" spans="1:17" x14ac:dyDescent="0.25">
      <c r="A46" t="str">
        <f t="shared" si="3"/>
        <v>19679</v>
      </c>
      <c r="B46">
        <v>927300</v>
      </c>
      <c r="C46" s="1">
        <v>41353</v>
      </c>
      <c r="D46" t="str">
        <f>"CATHODIC 1.9-0210082"</f>
        <v>CATHODIC 1.9-0210082</v>
      </c>
      <c r="E46">
        <v>14</v>
      </c>
      <c r="F46">
        <v>40</v>
      </c>
      <c r="G46" t="s">
        <v>38</v>
      </c>
      <c r="H46" t="str">
        <f>"CORR 8  DE NORA ANODE CE"</f>
        <v>CORR 8  DE NORA ANODE CE</v>
      </c>
      <c r="I46">
        <v>512</v>
      </c>
      <c r="J46">
        <v>0</v>
      </c>
      <c r="K46">
        <v>512</v>
      </c>
      <c r="L46">
        <v>0</v>
      </c>
      <c r="M46">
        <v>0</v>
      </c>
      <c r="N46">
        <v>928503</v>
      </c>
      <c r="O46" t="s">
        <v>25</v>
      </c>
      <c r="P46">
        <v>30</v>
      </c>
      <c r="Q46" t="str">
        <f>"78CF40   "</f>
        <v xml:space="preserve">78CF40   </v>
      </c>
    </row>
    <row r="47" spans="1:17" x14ac:dyDescent="0.25">
      <c r="A47" t="str">
        <f t="shared" si="3"/>
        <v>19679</v>
      </c>
      <c r="B47">
        <v>927300</v>
      </c>
      <c r="C47" s="1">
        <v>41353</v>
      </c>
      <c r="D47" t="str">
        <f>"CATHODIC 1.9-0210082"</f>
        <v>CATHODIC 1.9-0210082</v>
      </c>
      <c r="E47">
        <v>14</v>
      </c>
      <c r="F47">
        <v>60</v>
      </c>
      <c r="G47" t="s">
        <v>39</v>
      </c>
      <c r="H47" t="str">
        <f>"CORR SC-3 CALCINED PETRO"</f>
        <v>CORR SC-3 CALCINED PETRO</v>
      </c>
      <c r="I47">
        <v>20000</v>
      </c>
      <c r="J47">
        <v>0</v>
      </c>
      <c r="K47">
        <v>20000</v>
      </c>
      <c r="L47">
        <v>0</v>
      </c>
      <c r="M47">
        <v>0</v>
      </c>
      <c r="N47">
        <v>928503</v>
      </c>
      <c r="O47" t="s">
        <v>25</v>
      </c>
      <c r="P47">
        <v>50</v>
      </c>
      <c r="Q47" t="str">
        <f>"78CF40   "</f>
        <v xml:space="preserve">78CF40  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"/>
  <sheetViews>
    <sheetView tabSelected="1" workbookViewId="0">
      <selection activeCell="G7" sqref="G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od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RowHeight="15" x14ac:dyDescent="0.25"/>
  <cols>
    <col min="1" max="1" width="15.28515625" bestFit="1" customWidth="1"/>
    <col min="2" max="2" width="9.7109375" bestFit="1" customWidth="1"/>
    <col min="3" max="3" width="117.140625" bestFit="1" customWidth="1"/>
    <col min="4" max="4" width="9.85546875" bestFit="1" customWidth="1"/>
    <col min="5" max="5" width="20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C2" t="s">
        <v>44</v>
      </c>
      <c r="E2" t="s">
        <v>41</v>
      </c>
    </row>
    <row r="3" spans="1:5" x14ac:dyDescent="0.25">
      <c r="C3" t="s">
        <v>43</v>
      </c>
    </row>
    <row r="4" spans="1:5" x14ac:dyDescent="0.25">
      <c r="C4" t="s">
        <v>42</v>
      </c>
    </row>
    <row r="5" spans="1:5" x14ac:dyDescent="0.25">
      <c r="A5" t="s">
        <v>5</v>
      </c>
      <c r="C5" t="s">
        <v>44</v>
      </c>
      <c r="E5" t="s">
        <v>41</v>
      </c>
    </row>
    <row r="6" spans="1:5" x14ac:dyDescent="0.25">
      <c r="C6" t="s">
        <v>40</v>
      </c>
    </row>
    <row r="7" spans="1:5" x14ac:dyDescent="0.25">
      <c r="C7" t="s">
        <v>42</v>
      </c>
    </row>
    <row r="8" spans="1:5" x14ac:dyDescent="0.25">
      <c r="A8" t="s">
        <v>105</v>
      </c>
      <c r="C8" t="s">
        <v>106</v>
      </c>
      <c r="E8" t="s">
        <v>41</v>
      </c>
    </row>
    <row r="9" spans="1:5" x14ac:dyDescent="0.25">
      <c r="A9" t="s">
        <v>5</v>
      </c>
      <c r="C9" t="s">
        <v>107</v>
      </c>
      <c r="E9" t="s">
        <v>108</v>
      </c>
    </row>
    <row r="10" spans="1:5" x14ac:dyDescent="0.25">
      <c r="A10" t="s">
        <v>5</v>
      </c>
      <c r="C10" t="s">
        <v>107</v>
      </c>
      <c r="E10" t="s">
        <v>108</v>
      </c>
    </row>
    <row r="11" spans="1:5" x14ac:dyDescent="0.25">
      <c r="A11" t="s">
        <v>109</v>
      </c>
      <c r="C11" t="s">
        <v>110</v>
      </c>
      <c r="E11" t="s">
        <v>41</v>
      </c>
    </row>
    <row r="12" spans="1:5" x14ac:dyDescent="0.25">
      <c r="A12" t="s">
        <v>111</v>
      </c>
      <c r="B12" s="1">
        <v>41375</v>
      </c>
      <c r="C12" t="s">
        <v>110</v>
      </c>
      <c r="E12" t="s">
        <v>41</v>
      </c>
    </row>
    <row r="13" spans="1:5" x14ac:dyDescent="0.25">
      <c r="A13" t="s">
        <v>109</v>
      </c>
      <c r="E13" t="s">
        <v>112</v>
      </c>
    </row>
    <row r="14" spans="1:5" x14ac:dyDescent="0.25">
      <c r="A14" t="s">
        <v>111</v>
      </c>
      <c r="B14" s="1">
        <v>41375</v>
      </c>
      <c r="C14" t="s">
        <v>113</v>
      </c>
      <c r="E14" t="s">
        <v>41</v>
      </c>
    </row>
    <row r="15" spans="1:5" x14ac:dyDescent="0.25">
      <c r="A15" t="s">
        <v>109</v>
      </c>
      <c r="E15" t="s">
        <v>112</v>
      </c>
    </row>
    <row r="16" spans="1:5" x14ac:dyDescent="0.25">
      <c r="A16" t="s">
        <v>111</v>
      </c>
      <c r="B16" s="1">
        <v>41375</v>
      </c>
      <c r="C16" t="s">
        <v>114</v>
      </c>
      <c r="E16" t="s">
        <v>41</v>
      </c>
    </row>
    <row r="17" spans="1:5" x14ac:dyDescent="0.25">
      <c r="A17" t="s">
        <v>109</v>
      </c>
      <c r="C17" t="s">
        <v>115</v>
      </c>
      <c r="E17" t="s">
        <v>41</v>
      </c>
    </row>
    <row r="18" spans="1:5" x14ac:dyDescent="0.25">
      <c r="A18" t="s">
        <v>111</v>
      </c>
      <c r="B18" s="1">
        <v>41375</v>
      </c>
      <c r="C18" t="s">
        <v>115</v>
      </c>
      <c r="E18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117 BO</vt:lpstr>
      <vt:lpstr>117 DS</vt:lpstr>
      <vt:lpstr>Previous 117 BO</vt:lpstr>
      <vt:lpstr>Previous 117 DS</vt:lpstr>
      <vt:lpstr>Macro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2013-04-09T14:12:08Z</dcterms:created>
  <dcterms:modified xsi:type="dcterms:W3CDTF">2013-04-11T14:44:17Z</dcterms:modified>
</cp:coreProperties>
</file>